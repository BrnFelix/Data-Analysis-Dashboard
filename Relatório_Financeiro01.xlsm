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atu\Documents\"/>
    </mc:Choice>
  </mc:AlternateContent>
  <xr:revisionPtr revIDLastSave="0" documentId="13_ncr:1_{CDB56820-0336-4587-98BB-1F3498EDE042}" xr6:coauthVersionLast="47" xr6:coauthVersionMax="47" xr10:uidLastSave="{00000000-0000-0000-0000-000000000000}"/>
  <bookViews>
    <workbookView xWindow="-120" yWindow="-120" windowWidth="20730" windowHeight="11160" tabRatio="591" activeTab="4" xr2:uid="{52C5A709-491B-48F6-ADE9-93776CB5F692}"/>
  </bookViews>
  <sheets>
    <sheet name="Dados Brutos" sheetId="8" r:id="rId1"/>
    <sheet name="Base de Dados" sheetId="2" r:id="rId2"/>
    <sheet name="Planilha5" sheetId="6" state="hidden" r:id="rId3"/>
    <sheet name="Planilhas" sheetId="5" r:id="rId4"/>
    <sheet name="DashBoard" sheetId="7" r:id="rId5"/>
  </sheets>
  <definedNames>
    <definedName name="SegmentaçãodeDados_Meses__data">#N/A</definedName>
  </definedNames>
  <calcPr calcId="191029"/>
  <pivotCaches>
    <pivotCache cacheId="58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5" l="1"/>
  <c r="E15" i="5"/>
  <c r="B15" i="5"/>
  <c r="H1" i="5"/>
  <c r="E1" i="5"/>
  <c r="B1" i="5"/>
</calcChain>
</file>

<file path=xl/sharedStrings.xml><?xml version="1.0" encoding="utf-8"?>
<sst xmlns="http://schemas.openxmlformats.org/spreadsheetml/2006/main" count="433" uniqueCount="138">
  <si>
    <t>id_pedido</t>
  </si>
  <si>
    <t>data</t>
  </si>
  <si>
    <t>produto</t>
  </si>
  <si>
    <t>id_item</t>
  </si>
  <si>
    <t>quantidade</t>
  </si>
  <si>
    <t>venda_unitaria</t>
  </si>
  <si>
    <t>custo_unitario</t>
  </si>
  <si>
    <t>cliente</t>
  </si>
  <si>
    <t>regiao</t>
  </si>
  <si>
    <t>5.50</t>
  </si>
  <si>
    <t>3.20</t>
  </si>
  <si>
    <t>Supermercado Bom Preço</t>
  </si>
  <si>
    <t>centro</t>
  </si>
  <si>
    <t>Norte</t>
  </si>
  <si>
    <t>Empório Saúde</t>
  </si>
  <si>
    <t>Bar do Zé</t>
  </si>
  <si>
    <t>Restaurante Saboroso</t>
  </si>
  <si>
    <t>Leste</t>
  </si>
  <si>
    <t>Bar Adega da Vila</t>
  </si>
  <si>
    <t>Sul</t>
  </si>
  <si>
    <t>Centro</t>
  </si>
  <si>
    <t>6.50</t>
  </si>
  <si>
    <t>4.00</t>
  </si>
  <si>
    <t>restaurante saboroso</t>
  </si>
  <si>
    <t>Emporio Saúde</t>
  </si>
  <si>
    <t>Supermercado Central</t>
  </si>
  <si>
    <t>Padaria Estrela</t>
  </si>
  <si>
    <t>Coluna1</t>
  </si>
  <si>
    <t>venda_total</t>
  </si>
  <si>
    <t>custo_total</t>
  </si>
  <si>
    <t>margem</t>
  </si>
  <si>
    <t>Heineken Lata</t>
  </si>
  <si>
    <t>A001</t>
  </si>
  <si>
    <t>3.80</t>
  </si>
  <si>
    <t>190.00</t>
  </si>
  <si>
    <t>0.3091</t>
  </si>
  <si>
    <t>Coca-Cola 2L</t>
  </si>
  <si>
    <t>A002</t>
  </si>
  <si>
    <t>7.00</t>
  </si>
  <si>
    <t>5.00</t>
  </si>
  <si>
    <t>210.00</t>
  </si>
  <si>
    <t>150.00</t>
  </si>
  <si>
    <t>Amstel Lata</t>
  </si>
  <si>
    <t>A003</t>
  </si>
  <si>
    <t>4.80</t>
  </si>
  <si>
    <t>Oeste</t>
  </si>
  <si>
    <t>192.00</t>
  </si>
  <si>
    <t>128.00</t>
  </si>
  <si>
    <t>0.3333</t>
  </si>
  <si>
    <t>Skol 600ml</t>
  </si>
  <si>
    <t>A004</t>
  </si>
  <si>
    <t>6.00</t>
  </si>
  <si>
    <t>240.00</t>
  </si>
  <si>
    <t>Fanta 2L</t>
  </si>
  <si>
    <t>A005</t>
  </si>
  <si>
    <t>130.00</t>
  </si>
  <si>
    <t>96.00</t>
  </si>
  <si>
    <t>0.2615</t>
  </si>
  <si>
    <t>Brahma Lata</t>
  </si>
  <si>
    <t>A006</t>
  </si>
  <si>
    <t>4.90</t>
  </si>
  <si>
    <t>3.50</t>
  </si>
  <si>
    <t>220.50</t>
  </si>
  <si>
    <t>157.50</t>
  </si>
  <si>
    <t>Pepsi 2L</t>
  </si>
  <si>
    <t>A007</t>
  </si>
  <si>
    <t>4.50</t>
  </si>
  <si>
    <t>112.50</t>
  </si>
  <si>
    <t>0.2500</t>
  </si>
  <si>
    <t>330.00</t>
  </si>
  <si>
    <t>228.00</t>
  </si>
  <si>
    <t>280.00</t>
  </si>
  <si>
    <t>200.00</t>
  </si>
  <si>
    <t>Guaraná 2L</t>
  </si>
  <si>
    <t>A008</t>
  </si>
  <si>
    <t>6.80</t>
  </si>
  <si>
    <t>238.00</t>
  </si>
  <si>
    <t>Skol Lata</t>
  </si>
  <si>
    <t>A009</t>
  </si>
  <si>
    <t>4.70</t>
  </si>
  <si>
    <t>3.40</t>
  </si>
  <si>
    <t>258.50</t>
  </si>
  <si>
    <t>187.00</t>
  </si>
  <si>
    <t>0.2764</t>
  </si>
  <si>
    <t>144.00</t>
  </si>
  <si>
    <t>300.00</t>
  </si>
  <si>
    <t>120.00</t>
  </si>
  <si>
    <t>90.00</t>
  </si>
  <si>
    <t>Rótulos de Linha</t>
  </si>
  <si>
    <t>Total Geral</t>
  </si>
  <si>
    <t>180.00</t>
  </si>
  <si>
    <t>0.1667</t>
  </si>
  <si>
    <t>Água Mineral 1L</t>
  </si>
  <si>
    <t>A010</t>
  </si>
  <si>
    <t>2.50</t>
  </si>
  <si>
    <t>1.80</t>
  </si>
  <si>
    <t>175.00</t>
  </si>
  <si>
    <t>126.00</t>
  </si>
  <si>
    <t>0.2800</t>
  </si>
  <si>
    <t>Heineken LongNeck</t>
  </si>
  <si>
    <t>A011</t>
  </si>
  <si>
    <t>6.20</t>
  </si>
  <si>
    <t>4.30</t>
  </si>
  <si>
    <t>124.00</t>
  </si>
  <si>
    <t>0.3065</t>
  </si>
  <si>
    <t>340.00</t>
  </si>
  <si>
    <t>250.00</t>
  </si>
  <si>
    <t>0.2647</t>
  </si>
  <si>
    <t>Skol Beats</t>
  </si>
  <si>
    <t>A012</t>
  </si>
  <si>
    <t>6.90</t>
  </si>
  <si>
    <t>241.50</t>
  </si>
  <si>
    <t>Brahma Duplo Malte</t>
  </si>
  <si>
    <t>A013</t>
  </si>
  <si>
    <t>165.00</t>
  </si>
  <si>
    <t>mar</t>
  </si>
  <si>
    <t>abr</t>
  </si>
  <si>
    <t>mai</t>
  </si>
  <si>
    <t>jul</t>
  </si>
  <si>
    <t>ago</t>
  </si>
  <si>
    <t>set</t>
  </si>
  <si>
    <t>out</t>
  </si>
  <si>
    <t>nov</t>
  </si>
  <si>
    <t>dez</t>
  </si>
  <si>
    <t>Soma de quantidade</t>
  </si>
  <si>
    <t>Soma de venda_total</t>
  </si>
  <si>
    <t>Média de venda_total</t>
  </si>
  <si>
    <t>Soma de margem</t>
  </si>
  <si>
    <t>Contagem de id_pedido</t>
  </si>
  <si>
    <t>Clientes</t>
  </si>
  <si>
    <t>Restaurante saboroso</t>
  </si>
  <si>
    <t>370.00</t>
  </si>
  <si>
    <t>0.25</t>
  </si>
  <si>
    <t>0.3067</t>
  </si>
  <si>
    <t>Amstel lata</t>
  </si>
  <si>
    <t>skol 600ml</t>
  </si>
  <si>
    <t>185.00</t>
  </si>
  <si>
    <t>Padaria estrela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</si>
</sst>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8" formatCode="&quot;R$&quot;\ #,##0.00"/>
    <numFmt numFmtId="171" formatCode="0.0%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32B3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/>
    <xf numFmtId="14" fontId="0" fillId="0" borderId="0" xfId="0" applyNumberFormat="1" applyAlignment="1">
      <alignment vertical="center" wrapText="1"/>
    </xf>
    <xf numFmtId="44" fontId="0" fillId="0" borderId="0" xfId="1" applyFont="1" applyAlignment="1">
      <alignment vertical="center" wrapText="1"/>
    </xf>
    <xf numFmtId="44" fontId="0" fillId="0" borderId="0" xfId="1" applyFont="1"/>
    <xf numFmtId="0" fontId="0" fillId="0" borderId="0" xfId="0" applyNumberFormat="1"/>
    <xf numFmtId="168" fontId="0" fillId="0" borderId="0" xfId="0" applyNumberFormat="1"/>
    <xf numFmtId="9" fontId="0" fillId="0" borderId="0" xfId="2" applyFont="1" applyAlignment="1">
      <alignment vertical="center" wrapText="1"/>
    </xf>
    <xf numFmtId="9" fontId="0" fillId="0" borderId="0" xfId="2" applyFont="1"/>
    <xf numFmtId="9" fontId="0" fillId="0" borderId="0" xfId="0" applyNumberFormat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1" fontId="0" fillId="0" borderId="0" xfId="0" applyNumberFormat="1"/>
    <xf numFmtId="0" fontId="0" fillId="2" borderId="0" xfId="0" applyFill="1"/>
    <xf numFmtId="171" fontId="0" fillId="0" borderId="0" xfId="0" applyNumberFormat="1"/>
  </cellXfs>
  <cellStyles count="3">
    <cellStyle name="Moeda" xfId="1" builtinId="4"/>
    <cellStyle name="Normal" xfId="0" builtinId="0"/>
    <cellStyle name="Porcentagem" xfId="2" builtinId="5"/>
  </cellStyles>
  <dxfs count="24">
    <dxf>
      <font>
        <color theme="0"/>
      </font>
      <border>
        <bottom style="thin">
          <color theme="9"/>
        </bottom>
        <vertical/>
        <horizontal/>
      </border>
    </dxf>
    <dxf>
      <font>
        <b/>
        <i val="0"/>
        <color theme="1"/>
      </font>
      <fill>
        <patternFill>
          <bgColor rgb="FF232B35"/>
        </patternFill>
      </fill>
      <border diagonalUp="0" diagonalDown="0">
        <left/>
        <right/>
        <top/>
        <bottom/>
        <vertical/>
        <horizontal/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" formatCode="0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171" formatCode="0.0%"/>
    </dxf>
    <dxf>
      <numFmt numFmtId="19" formatCode="dd/mm/yyyy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1" defaultTableStyle="TableStyleMedium2" defaultPivotStyle="PivotStyleLight16">
    <tableStyle name="SlicerStyleLight6 2" pivot="0" table="0" count="10" xr9:uid="{71D0B5D8-00F3-485D-AB9B-E4DEDB89A374}">
      <tableStyleElement type="wholeTable" dxfId="1"/>
      <tableStyleElement type="headerRow" dxfId="0"/>
    </tableStyle>
  </tableStyles>
  <colors>
    <mruColors>
      <color rgb="FF232B35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patternFill patternType="solid">
              <fgColor auto="1"/>
              <bgColor rgb="FF0070C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0070C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0070C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0070C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79995117038483843"/>
              <bgColor rgb="FF0070C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9" tint="0.59999389629810485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[Relatório_Financeiro01.xlsm]Planilhas!Tabela dinâmica5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Planilhas!$E$2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Planilhas!$D$3:$D$12</c:f>
              <c:strCache>
                <c:ptCount val="9"/>
                <c:pt idx="0">
                  <c:v>mar</c:v>
                </c:pt>
                <c:pt idx="1">
                  <c:v>abr</c:v>
                </c:pt>
                <c:pt idx="2">
                  <c:v>mai</c:v>
                </c:pt>
                <c:pt idx="3">
                  <c:v>jul</c:v>
                </c:pt>
                <c:pt idx="4">
                  <c:v>ago</c:v>
                </c:pt>
                <c:pt idx="5">
                  <c:v>set</c:v>
                </c:pt>
                <c:pt idx="6">
                  <c:v>out</c:v>
                </c:pt>
                <c:pt idx="7">
                  <c:v>nov</c:v>
                </c:pt>
                <c:pt idx="8">
                  <c:v>dez</c:v>
                </c:pt>
              </c:strCache>
            </c:strRef>
          </c:cat>
          <c:val>
            <c:numRef>
              <c:f>Planilhas!$E$3:$E$12</c:f>
              <c:numCache>
                <c:formatCode>_("R$"* #,##0.00_);_("R$"* \(#,##0.00\);_("R$"* "-"??_);_(@_)</c:formatCode>
                <c:ptCount val="9"/>
                <c:pt idx="0">
                  <c:v>402</c:v>
                </c:pt>
                <c:pt idx="1">
                  <c:v>144</c:v>
                </c:pt>
                <c:pt idx="2">
                  <c:v>300</c:v>
                </c:pt>
                <c:pt idx="3">
                  <c:v>1288</c:v>
                </c:pt>
                <c:pt idx="4">
                  <c:v>299</c:v>
                </c:pt>
                <c:pt idx="5">
                  <c:v>941.5</c:v>
                </c:pt>
                <c:pt idx="6">
                  <c:v>738</c:v>
                </c:pt>
                <c:pt idx="7">
                  <c:v>663</c:v>
                </c:pt>
                <c:pt idx="8">
                  <c:v>2082.5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A-4B20-8295-26244E84E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9392671"/>
        <c:axId val="719369631"/>
      </c:lineChart>
      <c:catAx>
        <c:axId val="71939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9369631"/>
        <c:crosses val="autoZero"/>
        <c:auto val="1"/>
        <c:lblAlgn val="ctr"/>
        <c:lblOffset val="100"/>
        <c:noMultiLvlLbl val="0"/>
      </c:catAx>
      <c:valAx>
        <c:axId val="719369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9392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[Relatório_Financeiro01.xlsm]Planilhas!Tabela dinâmica8</c:name>
    <c:fmtId val="4"/>
  </c:pivotSource>
  <c:chart>
    <c:autoTitleDeleted val="1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tint val="5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3"/>
        <c:spPr>
          <a:gradFill rotWithShape="1">
            <a:gsLst>
              <a:gs pos="0">
                <a:schemeClr val="accent4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4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5"/>
        <c:spPr>
          <a:gradFill rotWithShape="1">
            <a:gsLst>
              <a:gs pos="0">
                <a:schemeClr val="accent4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6"/>
        <c:spPr>
          <a:gradFill rotWithShape="1">
            <a:gsLst>
              <a:gs pos="0">
                <a:schemeClr val="accent4">
                  <a:shade val="5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5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5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7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4">
                  <a:tint val="54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54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5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4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4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4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4">
                  <a:shade val="53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hade val="53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shade val="5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1464649665650055E-2"/>
          <c:y val="3.0688678100897607E-2"/>
          <c:w val="0.75493933419586301"/>
          <c:h val="0.86496981635605052"/>
        </c:manualLayout>
      </c:layout>
      <c:pie3DChart>
        <c:varyColors val="1"/>
        <c:ser>
          <c:idx val="0"/>
          <c:order val="0"/>
          <c:tx>
            <c:strRef>
              <c:f>Planilhas!$E$16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gradFill rotWithShape="1">
                <a:gsLst>
                  <a:gs pos="0">
                    <a:schemeClr val="accent4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2BE0-4C4C-81E0-AEB557A3E18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2BE0-4C4C-81E0-AEB557A3E18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2BE0-4C4C-81E0-AEB557A3E18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2BE0-4C4C-81E0-AEB557A3E18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4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2BE0-4C4C-81E0-AEB557A3E18E}"/>
              </c:ext>
            </c:extLst>
          </c:dPt>
          <c:dLbls>
            <c:dLbl>
              <c:idx val="0"/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E0-4C4C-81E0-AEB557A3E18E}"/>
                </c:ext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E0-4C4C-81E0-AEB557A3E18E}"/>
                </c:ext>
              </c:extLst>
            </c:dLbl>
            <c:dLbl>
              <c:idx val="2"/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E0-4C4C-81E0-AEB557A3E18E}"/>
                </c:ext>
              </c:extLst>
            </c:dLbl>
            <c:dLbl>
              <c:idx val="3"/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E0-4C4C-81E0-AEB557A3E18E}"/>
                </c:ext>
              </c:extLst>
            </c:dLbl>
            <c:dLbl>
              <c:idx val="4"/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BE0-4C4C-81E0-AEB557A3E1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Planilhas!$D$17:$D$22</c:f>
              <c:strCache>
                <c:ptCount val="5"/>
                <c:pt idx="0">
                  <c:v>Norte</c:v>
                </c:pt>
                <c:pt idx="1">
                  <c:v>Oeste</c:v>
                </c:pt>
                <c:pt idx="2">
                  <c:v>Centro</c:v>
                </c:pt>
                <c:pt idx="3">
                  <c:v>Leste</c:v>
                </c:pt>
                <c:pt idx="4">
                  <c:v>Sul</c:v>
                </c:pt>
              </c:strCache>
            </c:strRef>
          </c:cat>
          <c:val>
            <c:numRef>
              <c:f>Planilhas!$E$17:$E$22</c:f>
              <c:numCache>
                <c:formatCode>_("R$"* #,##0.00_);_("R$"* \(#,##0.00\);_("R$"* "-"??_);_(@_)</c:formatCode>
                <c:ptCount val="5"/>
                <c:pt idx="0">
                  <c:v>2455</c:v>
                </c:pt>
                <c:pt idx="1">
                  <c:v>1853</c:v>
                </c:pt>
                <c:pt idx="2">
                  <c:v>1055</c:v>
                </c:pt>
                <c:pt idx="3">
                  <c:v>955</c:v>
                </c:pt>
                <c:pt idx="4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BE0-4C4C-81E0-AEB557A3E18E}"/>
            </c:ext>
          </c:extLst>
        </c:ser>
        <c:dLbls>
          <c:dLblPos val="ctr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398496574051472"/>
          <c:y val="0.21651128207631379"/>
          <c:w val="0.15589966389908735"/>
          <c:h val="0.542426010080385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[Relatório_Financeiro01.xlsm]Planilhas!Tabela dinâmica12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Planilhas!$E$26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Lbls>
            <c:delete val="1"/>
          </c:dLbls>
          <c:cat>
            <c:strRef>
              <c:f>Planilhas!$D$27:$D$40</c:f>
              <c:strCache>
                <c:ptCount val="13"/>
                <c:pt idx="0">
                  <c:v>Pepsi 2L</c:v>
                </c:pt>
                <c:pt idx="1">
                  <c:v>Skol 600ml</c:v>
                </c:pt>
                <c:pt idx="2">
                  <c:v>Amstel Lata</c:v>
                </c:pt>
                <c:pt idx="3">
                  <c:v>Heineken Lata</c:v>
                </c:pt>
                <c:pt idx="4">
                  <c:v>Coca-Cola 2L</c:v>
                </c:pt>
                <c:pt idx="5">
                  <c:v>Fanta 2L</c:v>
                </c:pt>
                <c:pt idx="6">
                  <c:v>Skol Beats</c:v>
                </c:pt>
                <c:pt idx="7">
                  <c:v>Brahma Lata</c:v>
                </c:pt>
                <c:pt idx="8">
                  <c:v>Guaraná 2L</c:v>
                </c:pt>
                <c:pt idx="9">
                  <c:v>Heineken LongNeck</c:v>
                </c:pt>
                <c:pt idx="10">
                  <c:v>Água Mineral 1L</c:v>
                </c:pt>
                <c:pt idx="11">
                  <c:v>Skol Lata</c:v>
                </c:pt>
                <c:pt idx="12">
                  <c:v>Brahma Duplo Malte</c:v>
                </c:pt>
              </c:strCache>
            </c:strRef>
          </c:cat>
          <c:val>
            <c:numRef>
              <c:f>Planilhas!$E$27:$E$40</c:f>
              <c:numCache>
                <c:formatCode>0.0%</c:formatCode>
                <c:ptCount val="13"/>
                <c:pt idx="0">
                  <c:v>1.1667000000000001</c:v>
                </c:pt>
                <c:pt idx="1">
                  <c:v>0.99990000000000001</c:v>
                </c:pt>
                <c:pt idx="2">
                  <c:v>0.99990000000000001</c:v>
                </c:pt>
                <c:pt idx="3">
                  <c:v>0.92730000000000001</c:v>
                </c:pt>
                <c:pt idx="4">
                  <c:v>0.85709999999999997</c:v>
                </c:pt>
                <c:pt idx="5">
                  <c:v>0.78449999999999998</c:v>
                </c:pt>
                <c:pt idx="6">
                  <c:v>0.57969999999999999</c:v>
                </c:pt>
                <c:pt idx="7">
                  <c:v>0.57210000000000005</c:v>
                </c:pt>
                <c:pt idx="8">
                  <c:v>0.54410000000000003</c:v>
                </c:pt>
                <c:pt idx="9">
                  <c:v>0.30649999999999999</c:v>
                </c:pt>
                <c:pt idx="10">
                  <c:v>0.28000000000000003</c:v>
                </c:pt>
                <c:pt idx="11">
                  <c:v>0.27639999999999998</c:v>
                </c:pt>
                <c:pt idx="12">
                  <c:v>0.24590000000000001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1-48AD-8507-ED790915A7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887371839"/>
        <c:axId val="887378559"/>
      </c:areaChart>
      <c:catAx>
        <c:axId val="887371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7378559"/>
        <c:crosses val="autoZero"/>
        <c:auto val="1"/>
        <c:lblAlgn val="ctr"/>
        <c:lblOffset val="100"/>
        <c:noMultiLvlLbl val="0"/>
      </c:catAx>
      <c:valAx>
        <c:axId val="88737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7371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3054082055532528"/>
          <c:y val="0.44831044316497903"/>
          <c:w val="6.9459179444674682E-2"/>
          <c:h val="0.103379113670041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168088</xdr:colOff>
      <xdr:row>0</xdr:row>
      <xdr:rowOff>168090</xdr:rowOff>
    </xdr:from>
    <xdr:to>
      <xdr:col>3</xdr:col>
      <xdr:colOff>593913</xdr:colOff>
      <xdr:row>26</xdr:row>
      <xdr:rowOff>133350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D0C6F48-7029-A90D-80D9-F805B18AD764}"/>
            </a:ext>
          </a:extLst>
        </xdr:cNvPr>
        <xdr:cNvSpPr/>
      </xdr:nvSpPr>
      <xdr:spPr>
        <a:xfrm>
          <a:off x="168088" y="168090"/>
          <a:ext cx="1826000" cy="4918260"/>
        </a:xfrm>
        <a:prstGeom prst="roundRect">
          <a:avLst/>
        </a:prstGeom>
        <a:noFill/>
        <a:effectLst>
          <a:outerShdw blurRad="38100" dist="63500" dir="2700000" algn="tl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1</xdr:row>
      <xdr:rowOff>138952</xdr:rowOff>
    </xdr:from>
    <xdr:to>
      <xdr:col>14</xdr:col>
      <xdr:colOff>66675</xdr:colOff>
      <xdr:row>14</xdr:row>
      <xdr:rowOff>133349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A0B7DE-B93D-4830-A084-F47E3301920C}"/>
            </a:ext>
          </a:extLst>
        </xdr:cNvPr>
        <xdr:cNvSpPr/>
      </xdr:nvSpPr>
      <xdr:spPr>
        <a:xfrm>
          <a:off x="2190750" y="329452"/>
          <a:ext cx="4695825" cy="2470897"/>
        </a:xfrm>
        <a:prstGeom prst="roundRect">
          <a:avLst/>
        </a:prstGeom>
        <a:solidFill>
          <a:schemeClr val="accent1">
            <a:alpha val="15000"/>
          </a:schemeClr>
        </a:solidFill>
        <a:effectLst>
          <a:outerShdw blurRad="38100" dist="63500" dir="2700000" algn="tl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67236</xdr:colOff>
      <xdr:row>1</xdr:row>
      <xdr:rowOff>156882</xdr:rowOff>
    </xdr:from>
    <xdr:to>
      <xdr:col>22</xdr:col>
      <xdr:colOff>549088</xdr:colOff>
      <xdr:row>14</xdr:row>
      <xdr:rowOff>121584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61689-C0D0-42D7-A09A-84E362588C8C}"/>
            </a:ext>
          </a:extLst>
        </xdr:cNvPr>
        <xdr:cNvSpPr/>
      </xdr:nvSpPr>
      <xdr:spPr>
        <a:xfrm>
          <a:off x="7440707" y="347382"/>
          <a:ext cx="4740087" cy="2441202"/>
        </a:xfrm>
        <a:prstGeom prst="roundRect">
          <a:avLst/>
        </a:prstGeom>
        <a:solidFill>
          <a:schemeClr val="accent1">
            <a:alpha val="15000"/>
          </a:schemeClr>
        </a:solidFill>
        <a:effectLst>
          <a:outerShdw blurRad="38100" dist="63500" dir="2700000" algn="tl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515471</xdr:colOff>
      <xdr:row>16</xdr:row>
      <xdr:rowOff>44824</xdr:rowOff>
    </xdr:from>
    <xdr:to>
      <xdr:col>23</xdr:col>
      <xdr:colOff>0</xdr:colOff>
      <xdr:row>29</xdr:row>
      <xdr:rowOff>179295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5C4761B-B4F6-4732-9D7D-40C4A488548A}"/>
            </a:ext>
          </a:extLst>
        </xdr:cNvPr>
        <xdr:cNvSpPr/>
      </xdr:nvSpPr>
      <xdr:spPr>
        <a:xfrm>
          <a:off x="4684059" y="3092824"/>
          <a:ext cx="7552765" cy="2610971"/>
        </a:xfrm>
        <a:prstGeom prst="roundRect">
          <a:avLst/>
        </a:prstGeom>
        <a:solidFill>
          <a:schemeClr val="accent1">
            <a:alpha val="15000"/>
          </a:schemeClr>
        </a:solidFill>
        <a:effectLst>
          <a:outerShdw blurRad="38100" dist="63500" dir="2700000" algn="tl" rotWithShape="0">
            <a:prstClr val="black">
              <a:alpha val="6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44823</xdr:colOff>
      <xdr:row>4</xdr:row>
      <xdr:rowOff>33617</xdr:rowOff>
    </xdr:from>
    <xdr:to>
      <xdr:col>3</xdr:col>
      <xdr:colOff>560294</xdr:colOff>
      <xdr:row>5</xdr:row>
      <xdr:rowOff>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B5C2260E-EFEB-045C-7DF6-1C517DDB9CD8}"/>
            </a:ext>
          </a:extLst>
        </xdr:cNvPr>
        <xdr:cNvSpPr txBox="1"/>
      </xdr:nvSpPr>
      <xdr:spPr>
        <a:xfrm>
          <a:off x="224117" y="795617"/>
          <a:ext cx="1725706" cy="1568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TOTAL FATURADO</a:t>
          </a:r>
        </a:p>
      </xdr:txBody>
    </xdr:sp>
    <xdr:clientData/>
  </xdr:twoCellAnchor>
  <xdr:twoCellAnchor>
    <xdr:from>
      <xdr:col>1</xdr:col>
      <xdr:colOff>26291</xdr:colOff>
      <xdr:row>9</xdr:row>
      <xdr:rowOff>26290</xdr:rowOff>
    </xdr:from>
    <xdr:to>
      <xdr:col>3</xdr:col>
      <xdr:colOff>541762</xdr:colOff>
      <xdr:row>9</xdr:row>
      <xdr:rowOff>183173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CC65945C-51F2-41AF-A898-706D98534569}"/>
            </a:ext>
          </a:extLst>
        </xdr:cNvPr>
        <xdr:cNvSpPr txBox="1"/>
      </xdr:nvSpPr>
      <xdr:spPr>
        <a:xfrm>
          <a:off x="209464" y="1740790"/>
          <a:ext cx="1731740" cy="1568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PRODUTO MAIS VENDIDO</a:t>
          </a:r>
        </a:p>
      </xdr:txBody>
    </xdr:sp>
    <xdr:clientData/>
  </xdr:twoCellAnchor>
  <xdr:twoCellAnchor>
    <xdr:from>
      <xdr:col>1</xdr:col>
      <xdr:colOff>32152</xdr:colOff>
      <xdr:row>14</xdr:row>
      <xdr:rowOff>24825</xdr:rowOff>
    </xdr:from>
    <xdr:to>
      <xdr:col>3</xdr:col>
      <xdr:colOff>547623</xdr:colOff>
      <xdr:row>17</xdr:row>
      <xdr:rowOff>29308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76FCA554-E134-4E7D-99EE-8395E3C43886}"/>
            </a:ext>
          </a:extLst>
        </xdr:cNvPr>
        <xdr:cNvSpPr txBox="1"/>
      </xdr:nvSpPr>
      <xdr:spPr>
        <a:xfrm>
          <a:off x="215325" y="2691825"/>
          <a:ext cx="1731740" cy="5759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REGIÃO</a:t>
          </a:r>
          <a:r>
            <a:rPr lang="pt-BR" sz="1100" baseline="0">
              <a:solidFill>
                <a:schemeClr val="bg1"/>
              </a:solidFill>
            </a:rPr>
            <a:t> COM MAIOR NÚMERO DE VENDAS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180156</xdr:colOff>
      <xdr:row>21</xdr:row>
      <xdr:rowOff>178691</xdr:rowOff>
    </xdr:from>
    <xdr:to>
      <xdr:col>3</xdr:col>
      <xdr:colOff>514652</xdr:colOff>
      <xdr:row>24</xdr:row>
      <xdr:rowOff>52754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C840A806-7E50-43AF-AE32-E47CD70254CA}"/>
            </a:ext>
          </a:extLst>
        </xdr:cNvPr>
        <xdr:cNvSpPr txBox="1"/>
      </xdr:nvSpPr>
      <xdr:spPr>
        <a:xfrm>
          <a:off x="180156" y="4179191"/>
          <a:ext cx="1734671" cy="4455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CLIENTE</a:t>
          </a:r>
          <a:r>
            <a:rPr lang="pt-BR" sz="1100" baseline="0">
              <a:solidFill>
                <a:schemeClr val="bg1"/>
              </a:solidFill>
            </a:rPr>
            <a:t> COM MAIOR NÚMERO DE PEDIDOS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1378</xdr:colOff>
      <xdr:row>2</xdr:row>
      <xdr:rowOff>67321</xdr:rowOff>
    </xdr:from>
    <xdr:to>
      <xdr:col>3</xdr:col>
      <xdr:colOff>517281</xdr:colOff>
      <xdr:row>3</xdr:row>
      <xdr:rowOff>99646</xdr:rowOff>
    </xdr:to>
    <xdr:sp macro="" textlink="Planilhas!E1">
      <xdr:nvSpPr>
        <xdr:cNvPr id="11" name="CaixaDeTexto 10">
          <a:extLst>
            <a:ext uri="{FF2B5EF4-FFF2-40B4-BE49-F238E27FC236}">
              <a16:creationId xmlns:a16="http://schemas.microsoft.com/office/drawing/2014/main" id="{EB305FCA-1B94-4D3D-B5BC-0A99A36E4621}"/>
            </a:ext>
          </a:extLst>
        </xdr:cNvPr>
        <xdr:cNvSpPr txBox="1"/>
      </xdr:nvSpPr>
      <xdr:spPr>
        <a:xfrm>
          <a:off x="182353" y="448321"/>
          <a:ext cx="1735103" cy="222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663D2F-83E8-481C-B9FF-91E531981C78}" type="TxLink">
            <a:rPr lang="en-US" sz="1600" b="1" i="0" u="none" strike="noStrike">
              <a:solidFill>
                <a:schemeClr val="bg1"/>
              </a:solidFill>
              <a:latin typeface="Aptos Narrow"/>
            </a:rPr>
            <a:t> R$ 6.858,00 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73269</xdr:colOff>
      <xdr:row>7</xdr:row>
      <xdr:rowOff>146538</xdr:rowOff>
    </xdr:from>
    <xdr:to>
      <xdr:col>3</xdr:col>
      <xdr:colOff>589172</xdr:colOff>
      <xdr:row>8</xdr:row>
      <xdr:rowOff>178863</xdr:rowOff>
    </xdr:to>
    <xdr:sp macro="" textlink="Planilhas!B15">
      <xdr:nvSpPr>
        <xdr:cNvPr id="12" name="CaixaDeTexto 11">
          <a:extLst>
            <a:ext uri="{FF2B5EF4-FFF2-40B4-BE49-F238E27FC236}">
              <a16:creationId xmlns:a16="http://schemas.microsoft.com/office/drawing/2014/main" id="{4ABA2010-4948-4A04-8A23-111766133B53}"/>
            </a:ext>
          </a:extLst>
        </xdr:cNvPr>
        <xdr:cNvSpPr txBox="1"/>
      </xdr:nvSpPr>
      <xdr:spPr>
        <a:xfrm>
          <a:off x="256442" y="1480038"/>
          <a:ext cx="1732172" cy="222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1099292-F013-431E-8210-E30F833F4BCE}" type="TxLink">
            <a:rPr lang="en-US" sz="1600" b="1" i="0" u="none" strike="noStrike" cap="all" baseline="0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Pepsi 2L</a:t>
          </a:fld>
          <a:endParaRPr lang="pt-BR" sz="1600" b="1" i="0" u="none" strike="noStrike" cap="all" baseline="0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3663</xdr:colOff>
      <xdr:row>12</xdr:row>
      <xdr:rowOff>178777</xdr:rowOff>
    </xdr:from>
    <xdr:to>
      <xdr:col>3</xdr:col>
      <xdr:colOff>519566</xdr:colOff>
      <xdr:row>14</xdr:row>
      <xdr:rowOff>20602</xdr:rowOff>
    </xdr:to>
    <xdr:sp macro="" textlink="Planilhas!E15">
      <xdr:nvSpPr>
        <xdr:cNvPr id="13" name="CaixaDeTexto 12">
          <a:extLst>
            <a:ext uri="{FF2B5EF4-FFF2-40B4-BE49-F238E27FC236}">
              <a16:creationId xmlns:a16="http://schemas.microsoft.com/office/drawing/2014/main" id="{DD48064E-AE06-4EF4-8790-742D0347768F}"/>
            </a:ext>
          </a:extLst>
        </xdr:cNvPr>
        <xdr:cNvSpPr txBox="1"/>
      </xdr:nvSpPr>
      <xdr:spPr>
        <a:xfrm>
          <a:off x="184638" y="2464777"/>
          <a:ext cx="1735103" cy="222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C7BC08B-E482-4D90-A33A-85D721773E52}" type="TxLink">
            <a:rPr lang="en-US" sz="1600" b="1" i="0" u="none" strike="noStrike" cap="all" baseline="0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Norte</a:t>
          </a:fld>
          <a:endParaRPr lang="pt-BR" sz="1600" b="1" i="0" u="none" strike="noStrike" cap="all" baseline="0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176579</xdr:colOff>
      <xdr:row>18</xdr:row>
      <xdr:rowOff>57150</xdr:rowOff>
    </xdr:from>
    <xdr:to>
      <xdr:col>3</xdr:col>
      <xdr:colOff>511507</xdr:colOff>
      <xdr:row>22</xdr:row>
      <xdr:rowOff>1</xdr:rowOff>
    </xdr:to>
    <xdr:sp macro="" textlink="Planilhas!H15">
      <xdr:nvSpPr>
        <xdr:cNvPr id="14" name="CaixaDeTexto 13">
          <a:extLst>
            <a:ext uri="{FF2B5EF4-FFF2-40B4-BE49-F238E27FC236}">
              <a16:creationId xmlns:a16="http://schemas.microsoft.com/office/drawing/2014/main" id="{292A1D77-79D2-4022-A656-B30A1E9DCF59}"/>
            </a:ext>
          </a:extLst>
        </xdr:cNvPr>
        <xdr:cNvSpPr txBox="1"/>
      </xdr:nvSpPr>
      <xdr:spPr>
        <a:xfrm>
          <a:off x="176579" y="3486150"/>
          <a:ext cx="1735103" cy="704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F445699-7E2F-4E34-A538-021F162FA18A}" type="TxLink">
            <a:rPr lang="en-US" sz="1600" b="1" i="0" u="none" strike="noStrike" cap="all" baseline="0">
              <a:solidFill>
                <a:schemeClr val="bg1"/>
              </a:solidFill>
              <a:latin typeface="Aptos Narrow"/>
              <a:ea typeface="+mn-ea"/>
              <a:cs typeface="+mn-cs"/>
            </a:rPr>
            <a:pPr marL="0" indent="0" algn="ctr"/>
            <a:t>Restaurante Saboroso</a:t>
          </a:fld>
          <a:endParaRPr lang="pt-BR" sz="1600" b="1" i="0" u="none" strike="noStrike" cap="all" baseline="0">
            <a:solidFill>
              <a:schemeClr val="bg1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19050</xdr:colOff>
      <xdr:row>1</xdr:row>
      <xdr:rowOff>186577</xdr:rowOff>
    </xdr:from>
    <xdr:to>
      <xdr:col>12</xdr:col>
      <xdr:colOff>581025</xdr:colOff>
      <xdr:row>2</xdr:row>
      <xdr:rowOff>180974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FDF60ADC-773E-4D6A-811A-854C926A8EE3}"/>
            </a:ext>
          </a:extLst>
        </xdr:cNvPr>
        <xdr:cNvSpPr txBox="1"/>
      </xdr:nvSpPr>
      <xdr:spPr>
        <a:xfrm>
          <a:off x="2209800" y="377077"/>
          <a:ext cx="4400550" cy="1848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TOTAL VENDIDO POR MÊS</a:t>
          </a:r>
        </a:p>
      </xdr:txBody>
    </xdr:sp>
    <xdr:clientData/>
  </xdr:twoCellAnchor>
  <xdr:twoCellAnchor>
    <xdr:from>
      <xdr:col>5</xdr:col>
      <xdr:colOff>200024</xdr:colOff>
      <xdr:row>3</xdr:row>
      <xdr:rowOff>161925</xdr:rowOff>
    </xdr:from>
    <xdr:to>
      <xdr:col>13</xdr:col>
      <xdr:colOff>47624</xdr:colOff>
      <xdr:row>13</xdr:row>
      <xdr:rowOff>161925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A258F17-67A3-4E72-B391-77204AC4B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21852</xdr:colOff>
      <xdr:row>3</xdr:row>
      <xdr:rowOff>188258</xdr:rowOff>
    </xdr:from>
    <xdr:to>
      <xdr:col>22</xdr:col>
      <xdr:colOff>156882</xdr:colOff>
      <xdr:row>14</xdr:row>
      <xdr:rowOff>161925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A3D27A70-84BC-4DBC-9CA6-EFC3E2583D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114860</xdr:colOff>
      <xdr:row>2</xdr:row>
      <xdr:rowOff>63311</xdr:rowOff>
    </xdr:from>
    <xdr:to>
      <xdr:col>22</xdr:col>
      <xdr:colOff>229160</xdr:colOff>
      <xdr:row>3</xdr:row>
      <xdr:rowOff>57708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52B4CDDC-4277-451C-B494-89719025B91A}"/>
            </a:ext>
          </a:extLst>
        </xdr:cNvPr>
        <xdr:cNvSpPr txBox="1"/>
      </xdr:nvSpPr>
      <xdr:spPr>
        <a:xfrm>
          <a:off x="7488331" y="444311"/>
          <a:ext cx="4372535" cy="1848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REGIÃO</a:t>
          </a:r>
          <a:r>
            <a:rPr lang="pt-BR" sz="1200" b="1" baseline="0">
              <a:solidFill>
                <a:schemeClr val="bg1"/>
              </a:solidFill>
            </a:rPr>
            <a:t> MAIS LUCRATIVA POR ANO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145675</xdr:colOff>
      <xdr:row>18</xdr:row>
      <xdr:rowOff>123264</xdr:rowOff>
    </xdr:from>
    <xdr:to>
      <xdr:col>23</xdr:col>
      <xdr:colOff>11204</xdr:colOff>
      <xdr:row>29</xdr:row>
      <xdr:rowOff>168087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91F4DE53-97C2-4A4F-82AE-15EB5564B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123265</xdr:colOff>
      <xdr:row>16</xdr:row>
      <xdr:rowOff>168088</xdr:rowOff>
    </xdr:from>
    <xdr:to>
      <xdr:col>20</xdr:col>
      <xdr:colOff>68916</xdr:colOff>
      <xdr:row>17</xdr:row>
      <xdr:rowOff>162485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7362D09E-2907-4EF1-810E-B2F78B021FFC}"/>
            </a:ext>
          </a:extLst>
        </xdr:cNvPr>
        <xdr:cNvSpPr txBox="1"/>
      </xdr:nvSpPr>
      <xdr:spPr>
        <a:xfrm>
          <a:off x="6107206" y="3216088"/>
          <a:ext cx="4371975" cy="1848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PRODUTOS</a:t>
          </a:r>
          <a:r>
            <a:rPr lang="pt-BR" sz="1200" b="1" baseline="0">
              <a:solidFill>
                <a:schemeClr val="bg1"/>
              </a:solidFill>
            </a:rPr>
            <a:t> COM MAIOR MARGEM DE LUCRATIVIDADE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218514</xdr:colOff>
      <xdr:row>16</xdr:row>
      <xdr:rowOff>28012</xdr:rowOff>
    </xdr:from>
    <xdr:to>
      <xdr:col>9</xdr:col>
      <xdr:colOff>52667</xdr:colOff>
      <xdr:row>25</xdr:row>
      <xdr:rowOff>145676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6" name="Meses">
              <a:extLst>
                <a:ext uri="{FF2B5EF4-FFF2-40B4-BE49-F238E27FC236}">
                  <a16:creationId xmlns:a16="http://schemas.microsoft.com/office/drawing/2014/main" id="{81C37955-72FE-4FBD-B5AF-9018260384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264" y="3076012"/>
              <a:ext cx="1843928" cy="18321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 Felix" refreshedDate="45858.428932060182" createdVersion="8" refreshedVersion="8" minRefreshableVersion="3" recordCount="30" xr:uid="{90D54C3C-EB12-4A4E-AA9E-0090B3505D47}">
  <cacheSource type="worksheet">
    <worksheetSource name="Tabela3"/>
  </cacheSource>
  <cacheFields count="14">
    <cacheField name="id_pedido" numFmtId="0">
      <sharedItems containsSemiMixedTypes="0" containsString="0" containsNumber="1" containsInteger="1" minValue="1001" maxValue="1030"/>
    </cacheField>
    <cacheField name="data" numFmtId="14">
      <sharedItems containsSemiMixedTypes="0" containsNonDate="0" containsDate="1" containsString="0" minDate="2025-03-02T00:00:00" maxDate="2025-12-19T00:00:00" count="26">
        <d v="2025-07-01T00:00:00"/>
        <d v="2025-03-02T00:00:00"/>
        <d v="2025-09-03T00:00:00"/>
        <d v="2025-12-04T00:00:00"/>
        <d v="2025-12-05T00:00:00"/>
        <d v="2025-12-06T00:00:00"/>
        <d v="2025-11-07T00:00:00"/>
        <d v="2025-07-07T00:00:00"/>
        <d v="2025-07-08T00:00:00"/>
        <d v="2025-12-08T00:00:00"/>
        <d v="2025-04-09T00:00:00"/>
        <d v="2025-05-09T00:00:00"/>
        <d v="2025-07-10T00:00:00"/>
        <d v="2025-07-11T00:00:00"/>
        <d v="2025-08-11T00:00:00"/>
        <d v="2025-08-12T00:00:00"/>
        <d v="2025-09-12T00:00:00"/>
        <d v="2025-09-13T00:00:00"/>
        <d v="2025-10-13T00:00:00"/>
        <d v="2025-10-14T00:00:00"/>
        <d v="2025-10-15T00:00:00"/>
        <d v="2025-11-15T00:00:00"/>
        <d v="2025-11-16T00:00:00"/>
        <d v="2025-12-16T00:00:00"/>
        <d v="2025-12-17T00:00:00"/>
        <d v="2025-12-18T00:00:00"/>
      </sharedItems>
      <fieldGroup par="13"/>
    </cacheField>
    <cacheField name="produto" numFmtId="0">
      <sharedItems count="13">
        <s v="Heineken Lata"/>
        <s v="Coca-Cola 2L"/>
        <s v="Amstel Lata"/>
        <s v="Skol 600ml"/>
        <s v="Fanta 2L"/>
        <s v="Brahma Lata"/>
        <s v="Pepsi 2L"/>
        <s v="Guaraná 2L"/>
        <s v="Skol Lata"/>
        <s v="Água Mineral 1L"/>
        <s v="Heineken LongNeck"/>
        <s v="Skol Beats"/>
        <s v="Brahma Duplo Malte"/>
      </sharedItems>
    </cacheField>
    <cacheField name="id_item" numFmtId="0">
      <sharedItems/>
    </cacheField>
    <cacheField name="quantidade" numFmtId="0">
      <sharedItems containsSemiMixedTypes="0" containsString="0" containsNumber="1" containsInteger="1" minValue="20" maxValue="70"/>
    </cacheField>
    <cacheField name="venda_unitaria" numFmtId="44">
      <sharedItems containsSemiMixedTypes="0" containsString="0" containsNumber="1" minValue="2.5" maxValue="7"/>
    </cacheField>
    <cacheField name="custo_unitario" numFmtId="44">
      <sharedItems containsSemiMixedTypes="0" containsString="0" containsNumber="1" minValue="1.8" maxValue="5"/>
    </cacheField>
    <cacheField name="venda_total" numFmtId="44">
      <sharedItems containsSemiMixedTypes="0" containsString="0" containsNumber="1" minValue="120" maxValue="360"/>
    </cacheField>
    <cacheField name="custo_total" numFmtId="44">
      <sharedItems containsSemiMixedTypes="0" containsString="0" containsNumber="1" minValue="86" maxValue="270"/>
    </cacheField>
    <cacheField name="margem" numFmtId="9">
      <sharedItems containsSemiMixedTypes="0" containsString="0" containsNumber="1" minValue="0.16669999999999999" maxValue="0.33329999999999999"/>
    </cacheField>
    <cacheField name="cliente" numFmtId="0">
      <sharedItems count="7">
        <s v="Bar do Zé"/>
        <s v="Restaurante Saboroso"/>
        <s v="Bar Adega da Vila"/>
        <s v="Supermercado Central"/>
        <s v="Empório Saúde"/>
        <s v="Padaria Estrela"/>
        <s v="Supermercado Bom Preço"/>
      </sharedItems>
    </cacheField>
    <cacheField name="regiao" numFmtId="0">
      <sharedItems count="5">
        <s v="Norte"/>
        <s v="Centro"/>
        <s v="Oeste"/>
        <s v="Leste"/>
        <s v="Sul"/>
      </sharedItems>
    </cacheField>
    <cacheField name="Dias (data)" numFmtId="0" databaseField="0">
      <fieldGroup base="1">
        <rangePr groupBy="days" startDate="2025-03-02T00:00:00" endDate="2025-12-19T00:00:00"/>
        <groupItems count="368">
          <s v="&lt;02/03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9/12/2025"/>
        </groupItems>
      </fieldGroup>
    </cacheField>
    <cacheField name="Meses (data)" numFmtId="0" databaseField="0">
      <fieldGroup base="1">
        <rangePr groupBy="months" startDate="2025-03-02T00:00:00" endDate="2025-12-19T00:00:00"/>
        <groupItems count="14">
          <s v="&lt;02/03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9/12/2025"/>
        </groupItems>
      </fieldGroup>
    </cacheField>
  </cacheFields>
  <extLst>
    <ext xmlns:x14="http://schemas.microsoft.com/office/spreadsheetml/2009/9/main" uri="{725AE2AE-9491-48be-B2B4-4EB974FC3084}">
      <x14:pivotCacheDefinition pivotCacheId="17365941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n v="1001"/>
    <x v="0"/>
    <x v="0"/>
    <s v="A001"/>
    <n v="50"/>
    <n v="5.5"/>
    <n v="3.8"/>
    <n v="275"/>
    <n v="190"/>
    <n v="0.30909999999999999"/>
    <x v="0"/>
    <x v="0"/>
  </r>
  <r>
    <n v="1002"/>
    <x v="1"/>
    <x v="1"/>
    <s v="A002"/>
    <n v="30"/>
    <n v="7"/>
    <n v="5"/>
    <n v="210"/>
    <n v="150"/>
    <n v="0.28570000000000001"/>
    <x v="1"/>
    <x v="1"/>
  </r>
  <r>
    <n v="1003"/>
    <x v="1"/>
    <x v="2"/>
    <s v="A003"/>
    <n v="40"/>
    <n v="4.8"/>
    <n v="3.2"/>
    <n v="192"/>
    <n v="128"/>
    <n v="0.33329999999999999"/>
    <x v="2"/>
    <x v="2"/>
  </r>
  <r>
    <n v="1004"/>
    <x v="2"/>
    <x v="3"/>
    <s v="A004"/>
    <n v="60"/>
    <n v="6"/>
    <n v="4"/>
    <n v="360"/>
    <n v="240"/>
    <n v="0.33329999999999999"/>
    <x v="3"/>
    <x v="0"/>
  </r>
  <r>
    <n v="1005"/>
    <x v="3"/>
    <x v="4"/>
    <s v="A005"/>
    <n v="20"/>
    <n v="6.5"/>
    <n v="4.8"/>
    <n v="130"/>
    <n v="96"/>
    <n v="0.26150000000000001"/>
    <x v="4"/>
    <x v="3"/>
  </r>
  <r>
    <n v="1006"/>
    <x v="4"/>
    <x v="5"/>
    <s v="A006"/>
    <n v="45"/>
    <n v="4.9000000000000004"/>
    <n v="3.5"/>
    <n v="220.5"/>
    <n v="157.5"/>
    <n v="0.28639999999999999"/>
    <x v="1"/>
    <x v="1"/>
  </r>
  <r>
    <n v="1007"/>
    <x v="5"/>
    <x v="6"/>
    <s v="A007"/>
    <n v="25"/>
    <n v="6"/>
    <n v="4.5"/>
    <n v="150"/>
    <n v="112.5"/>
    <n v="0.25"/>
    <x v="0"/>
    <x v="0"/>
  </r>
  <r>
    <n v="1008"/>
    <x v="6"/>
    <x v="0"/>
    <s v="A001"/>
    <n v="60"/>
    <n v="5.5"/>
    <n v="3.8"/>
    <n v="330"/>
    <n v="228"/>
    <n v="0.30909999999999999"/>
    <x v="3"/>
    <x v="0"/>
  </r>
  <r>
    <n v="1009"/>
    <x v="7"/>
    <x v="1"/>
    <s v="A002"/>
    <n v="40"/>
    <n v="7"/>
    <n v="5"/>
    <n v="280"/>
    <n v="200"/>
    <n v="0.28570000000000001"/>
    <x v="5"/>
    <x v="2"/>
  </r>
  <r>
    <n v="1010"/>
    <x v="8"/>
    <x v="7"/>
    <s v="A008"/>
    <n v="35"/>
    <n v="6.8"/>
    <n v="4.9000000000000004"/>
    <n v="238"/>
    <n v="171.5"/>
    <n v="0.27939999999999998"/>
    <x v="2"/>
    <x v="2"/>
  </r>
  <r>
    <n v="1011"/>
    <x v="9"/>
    <x v="8"/>
    <s v="A009"/>
    <n v="55"/>
    <n v="4.7"/>
    <n v="3.4"/>
    <n v="258.5"/>
    <n v="187"/>
    <n v="0.27639999999999998"/>
    <x v="4"/>
    <x v="3"/>
  </r>
  <r>
    <n v="1012"/>
    <x v="10"/>
    <x v="2"/>
    <s v="A003"/>
    <n v="30"/>
    <n v="4.8"/>
    <n v="3.2"/>
    <n v="144"/>
    <n v="96"/>
    <n v="0.33329999999999999"/>
    <x v="1"/>
    <x v="1"/>
  </r>
  <r>
    <n v="1013"/>
    <x v="11"/>
    <x v="3"/>
    <s v="A004"/>
    <n v="50"/>
    <n v="6"/>
    <n v="4"/>
    <n v="300"/>
    <n v="200"/>
    <n v="0.33329999999999999"/>
    <x v="6"/>
    <x v="4"/>
  </r>
  <r>
    <n v="1014"/>
    <x v="12"/>
    <x v="4"/>
    <s v="A005"/>
    <n v="30"/>
    <n v="6.5"/>
    <n v="4.8"/>
    <n v="195"/>
    <n v="144"/>
    <n v="0.26150000000000001"/>
    <x v="0"/>
    <x v="0"/>
  </r>
  <r>
    <n v="1015"/>
    <x v="12"/>
    <x v="6"/>
    <s v="A007"/>
    <n v="20"/>
    <n v="6"/>
    <n v="4.5"/>
    <n v="120"/>
    <n v="90"/>
    <n v="0.25"/>
    <x v="5"/>
    <x v="2"/>
  </r>
  <r>
    <n v="1016"/>
    <x v="13"/>
    <x v="6"/>
    <s v="A007"/>
    <n v="30"/>
    <n v="6"/>
    <n v="5"/>
    <n v="180"/>
    <n v="150"/>
    <n v="0.16669999999999999"/>
    <x v="5"/>
    <x v="2"/>
  </r>
  <r>
    <n v="1017"/>
    <x v="14"/>
    <x v="9"/>
    <s v="A010"/>
    <n v="70"/>
    <n v="2.5"/>
    <n v="1.8"/>
    <n v="175"/>
    <n v="126"/>
    <n v="0.28000000000000003"/>
    <x v="1"/>
    <x v="1"/>
  </r>
  <r>
    <n v="1018"/>
    <x v="15"/>
    <x v="10"/>
    <s v="A011"/>
    <n v="20"/>
    <n v="6.2"/>
    <n v="4.3"/>
    <n v="124"/>
    <n v="86"/>
    <n v="0.30649999999999999"/>
    <x v="0"/>
    <x v="0"/>
  </r>
  <r>
    <n v="1019"/>
    <x v="16"/>
    <x v="7"/>
    <s v="A008"/>
    <n v="50"/>
    <n v="6.8"/>
    <n v="5"/>
    <n v="340"/>
    <n v="250"/>
    <n v="0.26469999999999999"/>
    <x v="3"/>
    <x v="0"/>
  </r>
  <r>
    <n v="1020"/>
    <x v="17"/>
    <x v="11"/>
    <s v="A012"/>
    <n v="35"/>
    <n v="6.9"/>
    <n v="4.9000000000000004"/>
    <n v="241.5"/>
    <n v="171.5"/>
    <n v="0.2898"/>
    <x v="4"/>
    <x v="3"/>
  </r>
  <r>
    <n v="1021"/>
    <x v="18"/>
    <x v="6"/>
    <s v="A007"/>
    <n v="40"/>
    <n v="6"/>
    <n v="4.5"/>
    <n v="240"/>
    <n v="180"/>
    <n v="0.25"/>
    <x v="6"/>
    <x v="4"/>
  </r>
  <r>
    <n v="1022"/>
    <x v="19"/>
    <x v="12"/>
    <s v="A013"/>
    <n v="30"/>
    <n v="6.1"/>
    <n v="4.5999999999999996"/>
    <n v="183"/>
    <n v="138"/>
    <n v="0.24590000000000001"/>
    <x v="1"/>
    <x v="1"/>
  </r>
  <r>
    <n v="1023"/>
    <x v="20"/>
    <x v="1"/>
    <s v="A002"/>
    <n v="45"/>
    <n v="7"/>
    <n v="5"/>
    <n v="315"/>
    <n v="225"/>
    <n v="0.28570000000000001"/>
    <x v="5"/>
    <x v="2"/>
  </r>
  <r>
    <n v="1024"/>
    <x v="21"/>
    <x v="0"/>
    <s v="A001"/>
    <n v="30"/>
    <n v="5.5"/>
    <n v="3.8"/>
    <n v="165"/>
    <n v="114"/>
    <n v="0.30909999999999999"/>
    <x v="0"/>
    <x v="0"/>
  </r>
  <r>
    <n v="1025"/>
    <x v="22"/>
    <x v="2"/>
    <s v="A003"/>
    <n v="35"/>
    <n v="4.8"/>
    <n v="3.2"/>
    <n v="168"/>
    <n v="112"/>
    <n v="0.33329999999999999"/>
    <x v="2"/>
    <x v="2"/>
  </r>
  <r>
    <n v="1026"/>
    <x v="23"/>
    <x v="3"/>
    <s v="A004"/>
    <n v="40"/>
    <n v="6"/>
    <n v="4"/>
    <n v="240"/>
    <n v="160"/>
    <n v="0.33329999999999999"/>
    <x v="3"/>
    <x v="0"/>
  </r>
  <r>
    <n v="1027"/>
    <x v="24"/>
    <x v="4"/>
    <s v="A005"/>
    <n v="50"/>
    <n v="6.5"/>
    <n v="4.8"/>
    <n v="325"/>
    <n v="240"/>
    <n v="0.26150000000000001"/>
    <x v="4"/>
    <x v="3"/>
  </r>
  <r>
    <n v="1028"/>
    <x v="24"/>
    <x v="5"/>
    <s v="A006"/>
    <n v="25"/>
    <n v="4.9000000000000004"/>
    <n v="3.5"/>
    <n v="122.5"/>
    <n v="87.5"/>
    <n v="0.28570000000000001"/>
    <x v="1"/>
    <x v="1"/>
  </r>
  <r>
    <n v="1029"/>
    <x v="25"/>
    <x v="6"/>
    <s v="A007"/>
    <n v="60"/>
    <n v="6"/>
    <n v="4.5"/>
    <n v="360"/>
    <n v="270"/>
    <n v="0.25"/>
    <x v="5"/>
    <x v="2"/>
  </r>
  <r>
    <n v="1030"/>
    <x v="25"/>
    <x v="11"/>
    <s v="A012"/>
    <n v="40"/>
    <n v="6.9"/>
    <n v="4.9000000000000004"/>
    <n v="276"/>
    <n v="196"/>
    <n v="0.28989999999999999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51B467-8AB1-4EAE-B4CB-2F935A44C86B}" name="Tabela dinâmica12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D26:E40" firstHeaderRow="1" firstDataRow="1" firstDataCol="1"/>
  <pivotFields count="14">
    <pivotField showAll="0"/>
    <pivotField numFmtId="14" showAll="0">
      <items count="27">
        <item x="1"/>
        <item x="10"/>
        <item x="11"/>
        <item x="0"/>
        <item x="7"/>
        <item x="8"/>
        <item x="12"/>
        <item x="13"/>
        <item x="14"/>
        <item x="15"/>
        <item x="2"/>
        <item x="16"/>
        <item x="17"/>
        <item x="18"/>
        <item x="19"/>
        <item x="20"/>
        <item x="6"/>
        <item x="21"/>
        <item x="22"/>
        <item x="3"/>
        <item x="4"/>
        <item x="5"/>
        <item x="9"/>
        <item x="23"/>
        <item x="24"/>
        <item x="25"/>
        <item t="default"/>
      </items>
    </pivotField>
    <pivotField axis="axisRow" showAll="0" sortType="descending">
      <items count="14">
        <item x="9"/>
        <item x="2"/>
        <item x="12"/>
        <item x="5"/>
        <item x="1"/>
        <item x="4"/>
        <item x="7"/>
        <item x="0"/>
        <item x="10"/>
        <item x="6"/>
        <item x="3"/>
        <item x="11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dataField="1" numFmtId="9" showAll="0"/>
    <pivotField showAll="0"/>
    <pivotField showAll="0">
      <items count="6">
        <item x="1"/>
        <item x="3"/>
        <item x="0"/>
        <item x="2"/>
        <item x="4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14">
    <i>
      <x v="9"/>
    </i>
    <i>
      <x v="10"/>
    </i>
    <i>
      <x v="1"/>
    </i>
    <i>
      <x v="7"/>
    </i>
    <i>
      <x v="4"/>
    </i>
    <i>
      <x v="5"/>
    </i>
    <i>
      <x v="11"/>
    </i>
    <i>
      <x v="3"/>
    </i>
    <i>
      <x v="6"/>
    </i>
    <i>
      <x v="8"/>
    </i>
    <i>
      <x/>
    </i>
    <i>
      <x v="12"/>
    </i>
    <i>
      <x v="2"/>
    </i>
    <i t="grand">
      <x/>
    </i>
  </rowItems>
  <colItems count="1">
    <i/>
  </colItems>
  <dataFields count="1">
    <dataField name="Soma de margem" fld="9" baseField="0" baseItem="0" numFmtId="171"/>
  </dataFields>
  <formats count="1">
    <format dxfId="8">
      <pivotArea outline="0" collapsedLevelsAreSubtotals="1" fieldPosition="0"/>
    </format>
  </format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44F200-1C36-44DF-81BB-0CB3B99D789B}" name="Tabela dinâmica9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lientes">
  <location ref="G16:H24" firstHeaderRow="1" firstDataRow="1" firstDataCol="1"/>
  <pivotFields count="14">
    <pivotField dataField="1" showAll="0"/>
    <pivotField numFmtId="14" showAll="0">
      <items count="27">
        <item x="1"/>
        <item x="10"/>
        <item x="11"/>
        <item x="0"/>
        <item x="7"/>
        <item x="8"/>
        <item x="12"/>
        <item x="13"/>
        <item x="14"/>
        <item x="15"/>
        <item x="2"/>
        <item x="16"/>
        <item x="17"/>
        <item x="18"/>
        <item x="19"/>
        <item x="20"/>
        <item x="6"/>
        <item x="21"/>
        <item x="22"/>
        <item x="3"/>
        <item x="4"/>
        <item x="5"/>
        <item x="9"/>
        <item x="23"/>
        <item x="24"/>
        <item x="25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numFmtId="9" showAll="0"/>
    <pivotField axis="axisRow" showAll="0" sortType="descending">
      <items count="8">
        <item x="2"/>
        <item x="0"/>
        <item x="4"/>
        <item x="5"/>
        <item x="1"/>
        <item x="6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">
        <item x="1"/>
        <item x="3"/>
        <item x="0"/>
        <item x="2"/>
        <item x="4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0"/>
  </rowFields>
  <rowItems count="8">
    <i>
      <x v="4"/>
    </i>
    <i>
      <x v="6"/>
    </i>
    <i>
      <x v="1"/>
    </i>
    <i>
      <x v="3"/>
    </i>
    <i>
      <x v="2"/>
    </i>
    <i>
      <x/>
    </i>
    <i>
      <x v="5"/>
    </i>
    <i t="grand">
      <x/>
    </i>
  </rowItems>
  <colItems count="1">
    <i/>
  </colItems>
  <dataFields count="1">
    <dataField name="Contagem de id_pedido" fld="0" subtotal="count" baseField="10" baseItem="2"/>
  </dataFields>
  <formats count="2">
    <format dxfId="6">
      <pivotArea outline="0" collapsedLevelsAreSubtotals="1" fieldPosition="0"/>
    </format>
    <format dxfId="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52A667-AFEF-47DC-A2E5-CDE86B1F476E}" name="Tabela dinâmica8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D16:E22" firstHeaderRow="1" firstDataRow="1" firstDataCol="1"/>
  <pivotFields count="14">
    <pivotField showAll="0"/>
    <pivotField numFmtId="14" showAll="0">
      <items count="27">
        <item x="1"/>
        <item x="10"/>
        <item x="11"/>
        <item x="0"/>
        <item x="7"/>
        <item x="8"/>
        <item x="12"/>
        <item x="13"/>
        <item x="14"/>
        <item x="15"/>
        <item x="2"/>
        <item x="16"/>
        <item x="17"/>
        <item x="18"/>
        <item x="19"/>
        <item x="20"/>
        <item x="6"/>
        <item x="21"/>
        <item x="22"/>
        <item x="3"/>
        <item x="4"/>
        <item x="5"/>
        <item x="9"/>
        <item x="23"/>
        <item x="24"/>
        <item x="25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  <pivotField numFmtId="44" showAll="0"/>
    <pivotField numFmtId="9" showAll="0"/>
    <pivotField showAll="0"/>
    <pivotField axis="axisRow" showAll="0" sortType="descending">
      <items count="6">
        <item x="1"/>
        <item x="3"/>
        <item x="0"/>
        <item x="2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1"/>
  </rowFields>
  <rowItems count="6">
    <i>
      <x v="2"/>
    </i>
    <i>
      <x v="3"/>
    </i>
    <i>
      <x/>
    </i>
    <i>
      <x v="1"/>
    </i>
    <i>
      <x v="4"/>
    </i>
    <i t="grand">
      <x/>
    </i>
  </rowItems>
  <colItems count="1">
    <i/>
  </colItems>
  <dataFields count="1">
    <dataField name="Soma de venda_total" fld="7" baseField="0" baseItem="0" numFmtId="44"/>
  </dataFields>
  <formats count="1">
    <format dxfId="5">
      <pivotArea outline="0" collapsedLevelsAreSubtotals="1" fieldPosition="0"/>
    </format>
  </formats>
  <chartFormats count="6"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CC06C-F0E1-4A88-9BAF-44752DFD3CAB}" name="Tabela dinâmica7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6:B30" firstHeaderRow="1" firstDataRow="1" firstDataCol="1"/>
  <pivotFields count="14">
    <pivotField showAll="0"/>
    <pivotField numFmtId="14" showAll="0">
      <items count="27">
        <item x="1"/>
        <item x="10"/>
        <item x="11"/>
        <item x="0"/>
        <item x="7"/>
        <item x="8"/>
        <item x="12"/>
        <item x="13"/>
        <item x="14"/>
        <item x="15"/>
        <item x="2"/>
        <item x="16"/>
        <item x="17"/>
        <item x="18"/>
        <item x="19"/>
        <item x="20"/>
        <item x="6"/>
        <item x="21"/>
        <item x="22"/>
        <item x="3"/>
        <item x="4"/>
        <item x="5"/>
        <item x="9"/>
        <item x="23"/>
        <item x="24"/>
        <item x="25"/>
        <item t="default"/>
      </items>
    </pivotField>
    <pivotField axis="axisRow" showAll="0" sortType="descending">
      <items count="14">
        <item x="8"/>
        <item x="11"/>
        <item x="3"/>
        <item x="6"/>
        <item x="10"/>
        <item x="0"/>
        <item x="7"/>
        <item x="4"/>
        <item x="1"/>
        <item x="5"/>
        <item x="12"/>
        <item x="2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dataField="1" numFmtId="44" showAll="0"/>
    <pivotField numFmtId="44" showAll="0"/>
    <pivotField numFmtId="9" showAll="0"/>
    <pivotField showAll="0"/>
    <pivotField showAll="0">
      <items count="6">
        <item x="1"/>
        <item x="3"/>
        <item x="0"/>
        <item x="2"/>
        <item x="4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14">
    <i>
      <x v="3"/>
    </i>
    <i>
      <x v="2"/>
    </i>
    <i>
      <x v="8"/>
    </i>
    <i>
      <x v="5"/>
    </i>
    <i>
      <x v="7"/>
    </i>
    <i>
      <x v="6"/>
    </i>
    <i>
      <x v="1"/>
    </i>
    <i>
      <x v="11"/>
    </i>
    <i>
      <x v="9"/>
    </i>
    <i>
      <x/>
    </i>
    <i>
      <x v="10"/>
    </i>
    <i>
      <x v="12"/>
    </i>
    <i>
      <x v="4"/>
    </i>
    <i t="grand">
      <x/>
    </i>
  </rowItems>
  <colItems count="1">
    <i/>
  </colItems>
  <dataFields count="1">
    <dataField name="Soma de venda_total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B07716-0155-4B04-AEFE-8B7835C293BD}" name="Tabela dinâmica6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2:H12" firstHeaderRow="1" firstDataRow="1" firstDataCol="1"/>
  <pivotFields count="14">
    <pivotField showAll="0"/>
    <pivotField numFmtId="14" showAll="0">
      <items count="27">
        <item x="1"/>
        <item x="10"/>
        <item x="11"/>
        <item x="0"/>
        <item x="7"/>
        <item x="8"/>
        <item x="12"/>
        <item x="13"/>
        <item x="14"/>
        <item x="15"/>
        <item x="2"/>
        <item x="16"/>
        <item x="17"/>
        <item x="18"/>
        <item x="19"/>
        <item x="20"/>
        <item x="6"/>
        <item x="21"/>
        <item x="22"/>
        <item x="3"/>
        <item x="4"/>
        <item x="5"/>
        <item x="9"/>
        <item x="23"/>
        <item x="24"/>
        <item x="25"/>
        <item t="default"/>
      </items>
    </pivotField>
    <pivotField showAll="0"/>
    <pivotField showAll="0"/>
    <pivotField showAll="0"/>
    <pivotField numFmtId="44" showAll="0"/>
    <pivotField numFmtId="44" showAll="0"/>
    <pivotField dataField="1" numFmtId="44" showAll="0"/>
    <pivotField numFmtId="44" showAll="0"/>
    <pivotField numFmtId="9" showAll="0"/>
    <pivotField showAll="0"/>
    <pivotField showAll="0">
      <items count="6">
        <item x="1"/>
        <item x="3"/>
        <item x="0"/>
        <item x="2"/>
        <item x="4"/>
        <item t="default"/>
      </items>
    </pivotField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3"/>
  </rowFields>
  <rowItems count="10"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Média de venda_total" fld="7" subtotal="average" baseField="13" baseItem="3" numFmtId="1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4FBFB6-598D-43E5-941C-8B208DA78DAE}" name="Tabela dinâmica5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D2:E12" firstHeaderRow="1" firstDataRow="1" firstDataCol="1"/>
  <pivotFields count="14">
    <pivotField showAll="0"/>
    <pivotField numFmtId="14" showAll="0">
      <items count="27">
        <item x="1"/>
        <item x="10"/>
        <item x="11"/>
        <item x="0"/>
        <item x="7"/>
        <item x="8"/>
        <item x="12"/>
        <item x="13"/>
        <item x="14"/>
        <item x="15"/>
        <item x="2"/>
        <item x="16"/>
        <item x="17"/>
        <item x="18"/>
        <item x="19"/>
        <item x="20"/>
        <item x="6"/>
        <item x="21"/>
        <item x="22"/>
        <item x="3"/>
        <item x="4"/>
        <item x="5"/>
        <item x="9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8">
        <item x="2"/>
        <item x="0"/>
        <item x="4"/>
        <item x="5"/>
        <item x="1"/>
        <item x="6"/>
        <item x="3"/>
        <item t="default"/>
      </items>
    </pivotField>
    <pivotField showAll="0">
      <items count="6">
        <item x="1"/>
        <item x="3"/>
        <item x="0"/>
        <item x="2"/>
        <item x="4"/>
        <item t="default"/>
      </items>
    </pivotField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3"/>
  </rowFields>
  <rowItems count="10"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a de venda_total" fld="7" baseField="13" baseItem="3" numFmtId="44"/>
  </dataFields>
  <formats count="2">
    <format dxfId="2">
      <pivotArea outline="0" collapsedLevelsAreSubtotals="1" fieldPosition="0"/>
    </format>
    <format dxfId="3">
      <pivotArea dataOnly="0" labelOnly="1" outline="0" axis="axisValues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CCABC8-4195-4B19-B5D2-6D24F8912261}" name="Tabela dinâmica4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:B12" firstHeaderRow="1" firstDataRow="1" firstDataCol="1"/>
  <pivotFields count="14">
    <pivotField showAll="0"/>
    <pivotField numFmtId="14" showAll="0">
      <items count="27">
        <item x="1"/>
        <item x="10"/>
        <item x="11"/>
        <item x="0"/>
        <item x="7"/>
        <item x="8"/>
        <item x="12"/>
        <item x="13"/>
        <item x="14"/>
        <item x="15"/>
        <item x="2"/>
        <item x="16"/>
        <item x="17"/>
        <item x="18"/>
        <item x="19"/>
        <item x="20"/>
        <item x="6"/>
        <item x="21"/>
        <item x="22"/>
        <item x="3"/>
        <item x="4"/>
        <item x="5"/>
        <item x="9"/>
        <item x="23"/>
        <item x="24"/>
        <item x="25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6">
        <item x="1"/>
        <item x="3"/>
        <item x="0"/>
        <item x="2"/>
        <item x="4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3"/>
  </rowFields>
  <rowItems count="10"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a de quantidad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__data" xr10:uid="{2099B3C5-F178-4A22-88DF-0E653FCA9A33}" sourceName="Meses (data)">
  <pivotTables>
    <pivotTable tabId="5" name="Tabela dinâmica5"/>
  </pivotTables>
  <data>
    <tabular pivotCacheId="1736594175">
      <items count="14">
        <i x="3" s="1"/>
        <i x="4" s="1"/>
        <i x="5" s="1"/>
        <i x="7" s="1"/>
        <i x="8" s="1"/>
        <i x="9" s="1"/>
        <i x="10" s="1"/>
        <i x="11" s="1"/>
        <i x="12" s="1"/>
        <i x="1" s="1" nd="1"/>
        <i x="2" s="1" nd="1"/>
        <i x="6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7973BEB5-7211-4CD5-83CB-34D9AEC3382E}" cache="SegmentaçãodeDados_Meses__data" caption="Meses " columnCount="2" style="SlicerStyleLight6 2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5A7AAD-CC40-4F05-BA99-8AEDD6F3AFF7}" name="Tabela3" displayName="Tabela3" ref="A1:L31" totalsRowShown="0" headerRowDxfId="13" dataDxfId="14">
  <autoFilter ref="A1:L31" xr:uid="{565A7AAD-CC40-4F05-BA99-8AEDD6F3AFF7}"/>
  <tableColumns count="12">
    <tableColumn id="1" xr3:uid="{ED1C4BB2-D880-4FBA-888D-01F531F61195}" name="id_pedido" dataDxfId="23"/>
    <tableColumn id="2" xr3:uid="{CC02A879-0334-4D0E-9E23-D8068451F53F}" name="Coluna1" dataDxfId="22"/>
    <tableColumn id="3" xr3:uid="{04C7AC92-E2BD-4053-9BEC-707B9E36A1B1}" name="produto" dataDxfId="21"/>
    <tableColumn id="4" xr3:uid="{E3A4A757-61A3-4B94-9D6D-00DD8B7FF194}" name="id_item" dataDxfId="20"/>
    <tableColumn id="5" xr3:uid="{5A1ECA57-DE3A-453A-8F98-04580149C17E}" name="quantidade" dataDxfId="19"/>
    <tableColumn id="6" xr3:uid="{E53EA742-5962-43B5-A105-254C64D70500}" name="venda_unitaria" dataDxfId="18" dataCellStyle="Moeda"/>
    <tableColumn id="7" xr3:uid="{24F5AC44-F97B-4CF3-A291-7369EF1F44EF}" name="custo_unitario" dataDxfId="17" dataCellStyle="Moeda"/>
    <tableColumn id="8" xr3:uid="{74452693-921C-4C4C-BAD8-148E9EC2AA3F}" name="venda_total" dataDxfId="16" dataCellStyle="Moeda"/>
    <tableColumn id="9" xr3:uid="{993551E5-3741-4D50-B9A5-5951487DB9DB}" name="custo_total" dataDxfId="12" dataCellStyle="Moeda"/>
    <tableColumn id="10" xr3:uid="{52AB27E1-A85B-4426-964E-C81960A2EEAF}" name="margem" dataDxfId="10" dataCellStyle="Porcentagem"/>
    <tableColumn id="11" xr3:uid="{BABD1964-9938-4606-84EA-884C034459B2}" name="cliente" dataDxfId="11"/>
    <tableColumn id="12" xr3:uid="{48A425B1-86D7-401E-BD56-54B1F7C54435}" name="regiao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21CDB8-3877-4BB7-9EFB-6B0261DAC6B8}" name="Tabela4" displayName="Tabela4" ref="A1:L6" totalsRowShown="0">
  <autoFilter ref="A1:L6" xr:uid="{D921CDB8-3877-4BB7-9EFB-6B0261DAC6B8}"/>
  <tableColumns count="12">
    <tableColumn id="1" xr3:uid="{FB353DFB-B79D-43D6-9FDB-46384CD29668}" name="id_pedido"/>
    <tableColumn id="2" xr3:uid="{20886188-FB6B-4BC0-BEC6-F87160DC8C77}" name="data" dataDxfId="9"/>
    <tableColumn id="3" xr3:uid="{6027287D-DBFF-4053-8A59-D01912029BE8}" name="produto"/>
    <tableColumn id="4" xr3:uid="{EA5E4F4B-2213-46E9-8192-1CDDD9593F9B}" name="id_item"/>
    <tableColumn id="5" xr3:uid="{6DF9B278-D417-49F0-8662-147DFB444AF6}" name="quantidade"/>
    <tableColumn id="6" xr3:uid="{D8555CEA-4D0B-41DB-9470-9BD66FF24CE5}" name="venda_unitaria"/>
    <tableColumn id="7" xr3:uid="{CC50684E-28B4-46AE-B973-52AF834DAF56}" name="custo_unitario"/>
    <tableColumn id="8" xr3:uid="{5E18BE8E-E02F-45E4-BD25-C294F2F748C9}" name="venda_total"/>
    <tableColumn id="9" xr3:uid="{0C9AF88C-F878-4C45-A70D-CD390213EC25}" name="custo_total"/>
    <tableColumn id="10" xr3:uid="{85AD06B8-6722-44B2-802D-C4590AAE2AE2}" name="margem"/>
    <tableColumn id="11" xr3:uid="{A2CF2FD8-5ABF-4F07-8DA2-93B15A2913C8}" name="cliente"/>
    <tableColumn id="12" xr3:uid="{39976B15-AA50-4040-90CC-0DB4CB7D1E41}" name="regia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A83BA-566B-445C-AB4B-093930EB93B8}">
  <dimension ref="A1:L21"/>
  <sheetViews>
    <sheetView workbookViewId="0">
      <selection activeCell="B1" sqref="B1"/>
    </sheetView>
  </sheetViews>
  <sheetFormatPr defaultRowHeight="15" x14ac:dyDescent="0.25"/>
  <cols>
    <col min="2" max="2" width="10.7109375" customWidth="1"/>
  </cols>
  <sheetData>
    <row r="1" spans="1:12" ht="3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28</v>
      </c>
      <c r="I1" s="1" t="s">
        <v>29</v>
      </c>
      <c r="J1" s="1" t="s">
        <v>30</v>
      </c>
      <c r="K1" s="1" t="s">
        <v>7</v>
      </c>
      <c r="L1" s="1" t="s">
        <v>8</v>
      </c>
    </row>
    <row r="2" spans="1:12" ht="30" x14ac:dyDescent="0.25">
      <c r="A2" s="2">
        <v>1001</v>
      </c>
      <c r="B2" s="4">
        <v>45839</v>
      </c>
      <c r="C2" s="2" t="s">
        <v>31</v>
      </c>
      <c r="D2" s="2" t="s">
        <v>32</v>
      </c>
      <c r="E2" s="2">
        <v>50</v>
      </c>
      <c r="F2" s="2">
        <v>5.5</v>
      </c>
      <c r="G2" s="2" t="s">
        <v>33</v>
      </c>
      <c r="H2" s="2"/>
      <c r="I2" s="2" t="s">
        <v>34</v>
      </c>
      <c r="J2" s="2" t="s">
        <v>35</v>
      </c>
      <c r="K2" s="2" t="s">
        <v>15</v>
      </c>
      <c r="L2" s="2" t="s">
        <v>13</v>
      </c>
    </row>
    <row r="3" spans="1:12" ht="60" x14ac:dyDescent="0.25">
      <c r="A3" s="2">
        <v>1002</v>
      </c>
      <c r="B3" s="4">
        <v>45718</v>
      </c>
      <c r="C3" s="2" t="s">
        <v>36</v>
      </c>
      <c r="D3" s="2" t="s">
        <v>37</v>
      </c>
      <c r="E3" s="2">
        <v>30</v>
      </c>
      <c r="F3" s="2" t="s">
        <v>38</v>
      </c>
      <c r="G3" s="2" t="s">
        <v>39</v>
      </c>
      <c r="H3" s="2" t="s">
        <v>72</v>
      </c>
      <c r="I3" s="2" t="s">
        <v>41</v>
      </c>
      <c r="J3" s="2" t="s">
        <v>68</v>
      </c>
      <c r="K3" s="2" t="s">
        <v>130</v>
      </c>
      <c r="L3" s="2" t="s">
        <v>20</v>
      </c>
    </row>
    <row r="4" spans="1:12" ht="45" x14ac:dyDescent="0.25">
      <c r="A4" s="2">
        <v>1003</v>
      </c>
      <c r="B4" s="4">
        <v>45718</v>
      </c>
      <c r="C4" s="2" t="s">
        <v>42</v>
      </c>
      <c r="D4" s="2" t="s">
        <v>43</v>
      </c>
      <c r="E4" s="2">
        <v>40</v>
      </c>
      <c r="F4" s="2" t="s">
        <v>44</v>
      </c>
      <c r="G4" s="2" t="s">
        <v>10</v>
      </c>
      <c r="H4" s="2" t="s">
        <v>46</v>
      </c>
      <c r="I4" s="2" t="s">
        <v>47</v>
      </c>
      <c r="J4" s="2" t="s">
        <v>48</v>
      </c>
      <c r="K4" s="2" t="s">
        <v>18</v>
      </c>
      <c r="L4" s="2" t="s">
        <v>45</v>
      </c>
    </row>
    <row r="5" spans="1:12" ht="45" x14ac:dyDescent="0.25">
      <c r="A5" s="2">
        <v>1004</v>
      </c>
      <c r="B5" s="4">
        <v>45903</v>
      </c>
      <c r="C5" s="2" t="s">
        <v>49</v>
      </c>
      <c r="D5" s="2" t="s">
        <v>50</v>
      </c>
      <c r="E5" s="2">
        <v>60</v>
      </c>
      <c r="F5" s="2" t="s">
        <v>51</v>
      </c>
      <c r="G5" s="2" t="s">
        <v>22</v>
      </c>
      <c r="H5" s="2" t="s">
        <v>131</v>
      </c>
      <c r="I5" s="2" t="s">
        <v>52</v>
      </c>
      <c r="J5" s="2" t="s">
        <v>68</v>
      </c>
      <c r="K5" s="2" t="s">
        <v>25</v>
      </c>
      <c r="L5" s="2" t="s">
        <v>13</v>
      </c>
    </row>
    <row r="6" spans="1:12" ht="30" x14ac:dyDescent="0.25">
      <c r="A6" s="2">
        <v>1005</v>
      </c>
      <c r="B6" s="4">
        <v>45995</v>
      </c>
      <c r="C6" s="2" t="s">
        <v>53</v>
      </c>
      <c r="D6" s="2" t="s">
        <v>54</v>
      </c>
      <c r="E6" s="2">
        <v>20</v>
      </c>
      <c r="F6" s="2" t="s">
        <v>21</v>
      </c>
      <c r="G6" s="2" t="s">
        <v>44</v>
      </c>
      <c r="H6" s="2" t="s">
        <v>55</v>
      </c>
      <c r="I6" s="2"/>
      <c r="J6" s="2" t="s">
        <v>57</v>
      </c>
      <c r="K6" s="2" t="s">
        <v>24</v>
      </c>
      <c r="L6" s="2" t="s">
        <v>17</v>
      </c>
    </row>
    <row r="7" spans="1:12" ht="60" x14ac:dyDescent="0.25">
      <c r="A7" s="2">
        <v>1006</v>
      </c>
      <c r="B7" s="4">
        <v>45996</v>
      </c>
      <c r="C7" s="2" t="s">
        <v>58</v>
      </c>
      <c r="D7" s="2" t="s">
        <v>59</v>
      </c>
      <c r="E7" s="2">
        <v>45</v>
      </c>
      <c r="F7" s="2" t="s">
        <v>60</v>
      </c>
      <c r="G7" s="2" t="s">
        <v>61</v>
      </c>
      <c r="H7" s="2" t="s">
        <v>62</v>
      </c>
      <c r="I7" s="2" t="s">
        <v>63</v>
      </c>
      <c r="J7" s="2">
        <v>0.28639999999999999</v>
      </c>
      <c r="K7" s="2" t="s">
        <v>16</v>
      </c>
      <c r="L7" s="2" t="s">
        <v>20</v>
      </c>
    </row>
    <row r="8" spans="1:12" x14ac:dyDescent="0.25">
      <c r="A8" s="2">
        <v>1007</v>
      </c>
      <c r="B8" s="4">
        <v>45997</v>
      </c>
      <c r="C8" s="2" t="s">
        <v>64</v>
      </c>
      <c r="D8" s="2" t="s">
        <v>65</v>
      </c>
      <c r="E8" s="2">
        <v>25</v>
      </c>
      <c r="F8" s="2" t="s">
        <v>51</v>
      </c>
      <c r="G8" s="2" t="s">
        <v>66</v>
      </c>
      <c r="H8" s="2" t="s">
        <v>41</v>
      </c>
      <c r="I8" s="2" t="s">
        <v>67</v>
      </c>
      <c r="J8" s="2" t="s">
        <v>132</v>
      </c>
      <c r="K8" s="2" t="s">
        <v>15</v>
      </c>
      <c r="L8" s="2" t="s">
        <v>13</v>
      </c>
    </row>
    <row r="9" spans="1:12" ht="45" x14ac:dyDescent="0.25">
      <c r="A9" s="2">
        <v>1008</v>
      </c>
      <c r="B9" s="4">
        <v>45968</v>
      </c>
      <c r="C9" s="2" t="s">
        <v>31</v>
      </c>
      <c r="D9" s="2" t="s">
        <v>32</v>
      </c>
      <c r="E9" s="2">
        <v>60</v>
      </c>
      <c r="F9" s="2" t="s">
        <v>9</v>
      </c>
      <c r="G9" s="2" t="s">
        <v>33</v>
      </c>
      <c r="H9" s="2" t="s">
        <v>69</v>
      </c>
      <c r="I9" s="2" t="s">
        <v>70</v>
      </c>
      <c r="J9" s="2" t="s">
        <v>35</v>
      </c>
      <c r="K9" s="2" t="s">
        <v>25</v>
      </c>
      <c r="L9" s="2" t="s">
        <v>13</v>
      </c>
    </row>
    <row r="10" spans="1:12" ht="30" x14ac:dyDescent="0.25">
      <c r="A10" s="2">
        <v>1009</v>
      </c>
      <c r="B10" s="4">
        <v>45845</v>
      </c>
      <c r="C10" s="2" t="s">
        <v>36</v>
      </c>
      <c r="D10" s="2" t="s">
        <v>37</v>
      </c>
      <c r="E10" s="2">
        <v>40</v>
      </c>
      <c r="F10" s="2" t="s">
        <v>38</v>
      </c>
      <c r="G10" s="2" t="s">
        <v>39</v>
      </c>
      <c r="H10" s="2" t="s">
        <v>71</v>
      </c>
      <c r="I10" s="2" t="s">
        <v>40</v>
      </c>
      <c r="J10" s="2" t="s">
        <v>132</v>
      </c>
      <c r="K10" s="2" t="s">
        <v>26</v>
      </c>
      <c r="L10" s="2" t="s">
        <v>45</v>
      </c>
    </row>
    <row r="11" spans="1:12" ht="45" x14ac:dyDescent="0.25">
      <c r="A11" s="2">
        <v>1010</v>
      </c>
      <c r="B11" s="4">
        <v>45846</v>
      </c>
      <c r="C11" s="2" t="s">
        <v>73</v>
      </c>
      <c r="D11" s="2" t="s">
        <v>74</v>
      </c>
      <c r="E11" s="2">
        <v>35</v>
      </c>
      <c r="F11" s="2" t="s">
        <v>75</v>
      </c>
      <c r="G11" s="2" t="s">
        <v>60</v>
      </c>
      <c r="H11" s="2" t="s">
        <v>76</v>
      </c>
      <c r="I11" s="2" t="s">
        <v>114</v>
      </c>
      <c r="J11" s="2" t="s">
        <v>133</v>
      </c>
      <c r="K11" s="2" t="s">
        <v>18</v>
      </c>
      <c r="L11" s="2" t="s">
        <v>45</v>
      </c>
    </row>
    <row r="12" spans="1:12" ht="30" x14ac:dyDescent="0.25">
      <c r="A12" s="2">
        <v>1011</v>
      </c>
      <c r="B12" s="4">
        <v>45999</v>
      </c>
      <c r="C12" s="2" t="s">
        <v>77</v>
      </c>
      <c r="D12" s="2" t="s">
        <v>78</v>
      </c>
      <c r="E12" s="2">
        <v>55</v>
      </c>
      <c r="F12" s="2" t="s">
        <v>79</v>
      </c>
      <c r="G12" s="2" t="s">
        <v>80</v>
      </c>
      <c r="H12" s="2" t="s">
        <v>81</v>
      </c>
      <c r="I12" s="2" t="s">
        <v>82</v>
      </c>
      <c r="J12" s="2" t="s">
        <v>83</v>
      </c>
      <c r="K12" s="2" t="s">
        <v>14</v>
      </c>
      <c r="L12" s="2" t="s">
        <v>17</v>
      </c>
    </row>
    <row r="13" spans="1:12" ht="60" x14ac:dyDescent="0.25">
      <c r="A13" s="2">
        <v>1012</v>
      </c>
      <c r="B13" s="4">
        <v>45756</v>
      </c>
      <c r="C13" s="2" t="s">
        <v>134</v>
      </c>
      <c r="D13" s="2" t="s">
        <v>43</v>
      </c>
      <c r="E13" s="2">
        <v>30</v>
      </c>
      <c r="F13" s="2" t="s">
        <v>44</v>
      </c>
      <c r="G13" s="2" t="s">
        <v>10</v>
      </c>
      <c r="H13" s="2" t="s">
        <v>84</v>
      </c>
      <c r="I13" s="2" t="s">
        <v>56</v>
      </c>
      <c r="J13" s="2" t="s">
        <v>48</v>
      </c>
      <c r="K13" s="2" t="s">
        <v>16</v>
      </c>
      <c r="L13" s="2" t="s">
        <v>20</v>
      </c>
    </row>
    <row r="14" spans="1:12" ht="60" x14ac:dyDescent="0.25">
      <c r="A14" s="2">
        <v>1013</v>
      </c>
      <c r="B14" s="4">
        <v>45786</v>
      </c>
      <c r="C14" s="2" t="s">
        <v>135</v>
      </c>
      <c r="D14" s="2" t="s">
        <v>50</v>
      </c>
      <c r="E14" s="2">
        <v>50</v>
      </c>
      <c r="F14" s="2" t="s">
        <v>51</v>
      </c>
      <c r="G14" s="2" t="s">
        <v>22</v>
      </c>
      <c r="H14" s="2" t="s">
        <v>85</v>
      </c>
      <c r="I14" s="2" t="s">
        <v>90</v>
      </c>
      <c r="J14" s="2" t="s">
        <v>48</v>
      </c>
      <c r="K14" s="2" t="s">
        <v>11</v>
      </c>
      <c r="L14" s="2" t="s">
        <v>19</v>
      </c>
    </row>
    <row r="15" spans="1:12" x14ac:dyDescent="0.25">
      <c r="A15" s="2">
        <v>1014</v>
      </c>
      <c r="B15" s="4">
        <v>45848</v>
      </c>
      <c r="C15" s="2" t="s">
        <v>53</v>
      </c>
      <c r="D15" s="2" t="s">
        <v>54</v>
      </c>
      <c r="E15" s="2">
        <v>30</v>
      </c>
      <c r="F15" s="2" t="s">
        <v>21</v>
      </c>
      <c r="G15" s="2" t="s">
        <v>44</v>
      </c>
      <c r="H15" s="2" t="s">
        <v>136</v>
      </c>
      <c r="I15" s="2" t="s">
        <v>84</v>
      </c>
      <c r="J15" s="2" t="s">
        <v>57</v>
      </c>
      <c r="K15" s="2" t="s">
        <v>15</v>
      </c>
      <c r="L15" s="2" t="s">
        <v>13</v>
      </c>
    </row>
    <row r="16" spans="1:12" ht="30" x14ac:dyDescent="0.25">
      <c r="A16" s="2">
        <v>1015</v>
      </c>
      <c r="B16" s="4">
        <v>45848</v>
      </c>
      <c r="C16" s="2" t="s">
        <v>64</v>
      </c>
      <c r="D16" s="2" t="s">
        <v>65</v>
      </c>
      <c r="E16" s="2">
        <v>20</v>
      </c>
      <c r="F16" s="2" t="s">
        <v>51</v>
      </c>
      <c r="G16" s="2" t="s">
        <v>66</v>
      </c>
      <c r="H16" s="2" t="s">
        <v>86</v>
      </c>
      <c r="I16" s="2" t="s">
        <v>87</v>
      </c>
      <c r="J16" s="11">
        <v>0.25</v>
      </c>
      <c r="K16" s="2" t="s">
        <v>26</v>
      </c>
      <c r="L16" s="2" t="s">
        <v>45</v>
      </c>
    </row>
    <row r="17" spans="1:12" ht="30" x14ac:dyDescent="0.25">
      <c r="A17" s="2">
        <v>1016</v>
      </c>
      <c r="B17" s="4">
        <v>45849</v>
      </c>
      <c r="C17" s="2" t="s">
        <v>64</v>
      </c>
      <c r="D17" s="2" t="s">
        <v>65</v>
      </c>
      <c r="E17" s="2">
        <v>30</v>
      </c>
      <c r="F17" s="2" t="s">
        <v>51</v>
      </c>
      <c r="G17" s="2" t="s">
        <v>39</v>
      </c>
      <c r="H17" s="2" t="s">
        <v>41</v>
      </c>
      <c r="I17" s="2" t="s">
        <v>41</v>
      </c>
      <c r="J17" s="2" t="s">
        <v>91</v>
      </c>
      <c r="K17" s="2" t="s">
        <v>137</v>
      </c>
      <c r="L17" s="2" t="s">
        <v>45</v>
      </c>
    </row>
    <row r="18" spans="1:12" ht="60" x14ac:dyDescent="0.25">
      <c r="A18" s="2">
        <v>1017</v>
      </c>
      <c r="B18" s="4">
        <v>45880</v>
      </c>
      <c r="C18" s="2" t="s">
        <v>92</v>
      </c>
      <c r="D18" s="2" t="s">
        <v>93</v>
      </c>
      <c r="E18" s="2">
        <v>70</v>
      </c>
      <c r="F18" s="2" t="s">
        <v>94</v>
      </c>
      <c r="G18" s="2" t="s">
        <v>95</v>
      </c>
      <c r="H18" s="2" t="s">
        <v>96</v>
      </c>
      <c r="I18" s="2" t="s">
        <v>97</v>
      </c>
      <c r="J18" s="2" t="s">
        <v>98</v>
      </c>
      <c r="K18" s="2" t="s">
        <v>23</v>
      </c>
      <c r="L18" s="2" t="s">
        <v>12</v>
      </c>
    </row>
    <row r="19" spans="1:12" ht="45" x14ac:dyDescent="0.25">
      <c r="A19" s="2">
        <v>1018</v>
      </c>
      <c r="B19" s="4">
        <v>45881</v>
      </c>
      <c r="C19" s="2" t="s">
        <v>99</v>
      </c>
      <c r="D19" s="2" t="s">
        <v>100</v>
      </c>
      <c r="E19" s="2">
        <v>20</v>
      </c>
      <c r="F19" s="2" t="s">
        <v>101</v>
      </c>
      <c r="G19" s="2" t="s">
        <v>102</v>
      </c>
      <c r="H19" s="2" t="s">
        <v>103</v>
      </c>
      <c r="I19" s="2" t="s">
        <v>87</v>
      </c>
      <c r="J19" s="2" t="s">
        <v>104</v>
      </c>
      <c r="K19" s="2" t="s">
        <v>15</v>
      </c>
      <c r="L19" s="2" t="s">
        <v>13</v>
      </c>
    </row>
    <row r="20" spans="1:12" ht="45" x14ac:dyDescent="0.25">
      <c r="A20" s="2">
        <v>1019</v>
      </c>
      <c r="B20" s="4">
        <v>45912</v>
      </c>
      <c r="C20" s="2" t="s">
        <v>73</v>
      </c>
      <c r="D20" s="2" t="s">
        <v>74</v>
      </c>
      <c r="E20" s="2">
        <v>50</v>
      </c>
      <c r="F20" s="2" t="s">
        <v>75</v>
      </c>
      <c r="G20" s="2" t="s">
        <v>39</v>
      </c>
      <c r="H20" s="2" t="s">
        <v>105</v>
      </c>
      <c r="I20" s="2" t="s">
        <v>106</v>
      </c>
      <c r="J20" s="2" t="s">
        <v>107</v>
      </c>
      <c r="K20" s="2" t="s">
        <v>25</v>
      </c>
      <c r="L20" s="2" t="s">
        <v>13</v>
      </c>
    </row>
    <row r="21" spans="1:12" ht="30" x14ac:dyDescent="0.25">
      <c r="A21" s="2">
        <v>1020</v>
      </c>
      <c r="B21" s="4">
        <v>45913</v>
      </c>
      <c r="C21" s="2" t="s">
        <v>108</v>
      </c>
      <c r="D21" s="2" t="s">
        <v>109</v>
      </c>
      <c r="E21" s="2">
        <v>35</v>
      </c>
      <c r="F21" s="2" t="s">
        <v>110</v>
      </c>
      <c r="G21" s="2" t="s">
        <v>60</v>
      </c>
      <c r="H21" s="2" t="s">
        <v>111</v>
      </c>
      <c r="I21" s="2"/>
      <c r="J21" s="2"/>
      <c r="K21" s="2"/>
      <c r="L21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6AB20-2D3C-44BD-96C1-AC8B940364F9}">
  <sheetPr codeName="Planilha2"/>
  <dimension ref="A1:L31"/>
  <sheetViews>
    <sheetView zoomScale="85" zoomScaleNormal="85" workbookViewId="0">
      <selection activeCell="Q7" sqref="Q7"/>
    </sheetView>
  </sheetViews>
  <sheetFormatPr defaultRowHeight="15" x14ac:dyDescent="0.25"/>
  <cols>
    <col min="1" max="1" width="11.140625" customWidth="1"/>
    <col min="2" max="2" width="10.28515625" customWidth="1"/>
    <col min="3" max="3" width="9.85546875" customWidth="1"/>
    <col min="4" max="4" width="13.42578125" customWidth="1"/>
    <col min="5" max="6" width="16.28515625" style="6" customWidth="1"/>
    <col min="7" max="8" width="16" style="8" customWidth="1"/>
    <col min="9" max="9" width="16" style="10" customWidth="1"/>
    <col min="10" max="10" width="10.28515625" customWidth="1"/>
  </cols>
  <sheetData>
    <row r="1" spans="1:12" x14ac:dyDescent="0.25">
      <c r="A1" s="1" t="s">
        <v>0</v>
      </c>
      <c r="B1" s="1" t="s">
        <v>27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28</v>
      </c>
      <c r="I1" s="1" t="s">
        <v>29</v>
      </c>
      <c r="J1" s="1" t="s">
        <v>30</v>
      </c>
      <c r="K1" s="1" t="s">
        <v>7</v>
      </c>
      <c r="L1" s="1" t="s">
        <v>8</v>
      </c>
    </row>
    <row r="2" spans="1:12" ht="30" x14ac:dyDescent="0.25">
      <c r="A2" s="2">
        <v>1001</v>
      </c>
      <c r="B2" s="4">
        <v>45839</v>
      </c>
      <c r="C2" s="2" t="s">
        <v>31</v>
      </c>
      <c r="D2" s="2" t="s">
        <v>32</v>
      </c>
      <c r="E2" s="2">
        <v>50</v>
      </c>
      <c r="F2" s="5">
        <v>5.5</v>
      </c>
      <c r="G2" s="5">
        <v>3.8</v>
      </c>
      <c r="H2" s="5">
        <v>275</v>
      </c>
      <c r="I2" s="5">
        <v>190</v>
      </c>
      <c r="J2" s="9">
        <v>0.30909999999999999</v>
      </c>
      <c r="K2" s="2" t="s">
        <v>15</v>
      </c>
      <c r="L2" s="2" t="s">
        <v>13</v>
      </c>
    </row>
    <row r="3" spans="1:12" ht="60" x14ac:dyDescent="0.25">
      <c r="A3" s="2">
        <v>1002</v>
      </c>
      <c r="B3" s="4">
        <v>45718</v>
      </c>
      <c r="C3" s="2" t="s">
        <v>36</v>
      </c>
      <c r="D3" s="2" t="s">
        <v>37</v>
      </c>
      <c r="E3" s="2">
        <v>30</v>
      </c>
      <c r="F3" s="5">
        <v>7</v>
      </c>
      <c r="G3" s="5">
        <v>5</v>
      </c>
      <c r="H3" s="5">
        <v>210</v>
      </c>
      <c r="I3" s="5">
        <v>150</v>
      </c>
      <c r="J3" s="9">
        <v>0.28570000000000001</v>
      </c>
      <c r="K3" s="2" t="s">
        <v>16</v>
      </c>
      <c r="L3" s="2" t="s">
        <v>20</v>
      </c>
    </row>
    <row r="4" spans="1:12" ht="45" x14ac:dyDescent="0.25">
      <c r="A4" s="2">
        <v>1003</v>
      </c>
      <c r="B4" s="4">
        <v>45718</v>
      </c>
      <c r="C4" s="2" t="s">
        <v>42</v>
      </c>
      <c r="D4" s="2" t="s">
        <v>43</v>
      </c>
      <c r="E4" s="2">
        <v>40</v>
      </c>
      <c r="F4" s="5">
        <v>4.8</v>
      </c>
      <c r="G4" s="5">
        <v>3.2</v>
      </c>
      <c r="H4" s="5">
        <v>192</v>
      </c>
      <c r="I4" s="5">
        <v>128</v>
      </c>
      <c r="J4" s="9">
        <v>0.33329999999999999</v>
      </c>
      <c r="K4" s="2" t="s">
        <v>18</v>
      </c>
      <c r="L4" s="2" t="s">
        <v>45</v>
      </c>
    </row>
    <row r="5" spans="1:12" ht="45" x14ac:dyDescent="0.25">
      <c r="A5" s="2">
        <v>1004</v>
      </c>
      <c r="B5" s="4">
        <v>45903</v>
      </c>
      <c r="C5" s="2" t="s">
        <v>49</v>
      </c>
      <c r="D5" s="2" t="s">
        <v>50</v>
      </c>
      <c r="E5" s="2">
        <v>60</v>
      </c>
      <c r="F5" s="5">
        <v>6</v>
      </c>
      <c r="G5" s="5">
        <v>4</v>
      </c>
      <c r="H5" s="5">
        <v>360</v>
      </c>
      <c r="I5" s="5">
        <v>240</v>
      </c>
      <c r="J5" s="9">
        <v>0.33329999999999999</v>
      </c>
      <c r="K5" s="2" t="s">
        <v>25</v>
      </c>
      <c r="L5" s="2" t="s">
        <v>13</v>
      </c>
    </row>
    <row r="6" spans="1:12" ht="30" x14ac:dyDescent="0.25">
      <c r="A6" s="2">
        <v>1005</v>
      </c>
      <c r="B6" s="4">
        <v>45995</v>
      </c>
      <c r="C6" s="2" t="s">
        <v>53</v>
      </c>
      <c r="D6" s="2" t="s">
        <v>54</v>
      </c>
      <c r="E6" s="2">
        <v>20</v>
      </c>
      <c r="F6" s="5">
        <v>6.5</v>
      </c>
      <c r="G6" s="5">
        <v>4.8</v>
      </c>
      <c r="H6" s="5">
        <v>130</v>
      </c>
      <c r="I6" s="5">
        <v>96</v>
      </c>
      <c r="J6" s="9">
        <v>0.26150000000000001</v>
      </c>
      <c r="K6" s="2" t="s">
        <v>14</v>
      </c>
      <c r="L6" s="2" t="s">
        <v>17</v>
      </c>
    </row>
    <row r="7" spans="1:12" ht="60" x14ac:dyDescent="0.25">
      <c r="A7" s="2">
        <v>1006</v>
      </c>
      <c r="B7" s="4">
        <v>45996</v>
      </c>
      <c r="C7" s="2" t="s">
        <v>58</v>
      </c>
      <c r="D7" s="2" t="s">
        <v>59</v>
      </c>
      <c r="E7" s="2">
        <v>45</v>
      </c>
      <c r="F7" s="5">
        <v>4.9000000000000004</v>
      </c>
      <c r="G7" s="5">
        <v>3.5</v>
      </c>
      <c r="H7" s="5">
        <v>220.5</v>
      </c>
      <c r="I7" s="5">
        <v>157.5</v>
      </c>
      <c r="J7" s="9">
        <v>0.28639999999999999</v>
      </c>
      <c r="K7" s="2" t="s">
        <v>16</v>
      </c>
      <c r="L7" s="2" t="s">
        <v>20</v>
      </c>
    </row>
    <row r="8" spans="1:12" x14ac:dyDescent="0.25">
      <c r="A8" s="2">
        <v>1007</v>
      </c>
      <c r="B8" s="4">
        <v>45997</v>
      </c>
      <c r="C8" s="2" t="s">
        <v>64</v>
      </c>
      <c r="D8" s="2" t="s">
        <v>65</v>
      </c>
      <c r="E8" s="2">
        <v>25</v>
      </c>
      <c r="F8" s="5">
        <v>6</v>
      </c>
      <c r="G8" s="5">
        <v>4.5</v>
      </c>
      <c r="H8" s="5">
        <v>150</v>
      </c>
      <c r="I8" s="5">
        <v>112.5</v>
      </c>
      <c r="J8" s="9">
        <v>0.25</v>
      </c>
      <c r="K8" s="2" t="s">
        <v>15</v>
      </c>
      <c r="L8" s="2" t="s">
        <v>13</v>
      </c>
    </row>
    <row r="9" spans="1:12" ht="45" x14ac:dyDescent="0.25">
      <c r="A9" s="2">
        <v>1008</v>
      </c>
      <c r="B9" s="4">
        <v>45968</v>
      </c>
      <c r="C9" s="2" t="s">
        <v>31</v>
      </c>
      <c r="D9" s="2" t="s">
        <v>32</v>
      </c>
      <c r="E9" s="2">
        <v>60</v>
      </c>
      <c r="F9" s="5">
        <v>5.5</v>
      </c>
      <c r="G9" s="5">
        <v>3.8</v>
      </c>
      <c r="H9" s="5">
        <v>330</v>
      </c>
      <c r="I9" s="5">
        <v>228</v>
      </c>
      <c r="J9" s="9">
        <v>0.30909999999999999</v>
      </c>
      <c r="K9" s="2" t="s">
        <v>25</v>
      </c>
      <c r="L9" s="2" t="s">
        <v>13</v>
      </c>
    </row>
    <row r="10" spans="1:12" ht="30" x14ac:dyDescent="0.25">
      <c r="A10" s="2">
        <v>1009</v>
      </c>
      <c r="B10" s="4">
        <v>45845</v>
      </c>
      <c r="C10" s="2" t="s">
        <v>36</v>
      </c>
      <c r="D10" s="2" t="s">
        <v>37</v>
      </c>
      <c r="E10" s="2">
        <v>40</v>
      </c>
      <c r="F10" s="5">
        <v>7</v>
      </c>
      <c r="G10" s="5">
        <v>5</v>
      </c>
      <c r="H10" s="5">
        <v>280</v>
      </c>
      <c r="I10" s="5">
        <v>200</v>
      </c>
      <c r="J10" s="9">
        <v>0.28570000000000001</v>
      </c>
      <c r="K10" s="2" t="s">
        <v>26</v>
      </c>
      <c r="L10" s="2" t="s">
        <v>45</v>
      </c>
    </row>
    <row r="11" spans="1:12" ht="45" x14ac:dyDescent="0.25">
      <c r="A11" s="2">
        <v>1010</v>
      </c>
      <c r="B11" s="4">
        <v>45846</v>
      </c>
      <c r="C11" s="2" t="s">
        <v>73</v>
      </c>
      <c r="D11" s="2" t="s">
        <v>74</v>
      </c>
      <c r="E11" s="2">
        <v>35</v>
      </c>
      <c r="F11" s="5">
        <v>6.8</v>
      </c>
      <c r="G11" s="5">
        <v>4.9000000000000004</v>
      </c>
      <c r="H11" s="5">
        <v>238</v>
      </c>
      <c r="I11" s="5">
        <v>171.5</v>
      </c>
      <c r="J11" s="9">
        <v>0.27939999999999998</v>
      </c>
      <c r="K11" s="2" t="s">
        <v>18</v>
      </c>
      <c r="L11" s="2" t="s">
        <v>45</v>
      </c>
    </row>
    <row r="12" spans="1:12" ht="30" x14ac:dyDescent="0.25">
      <c r="A12" s="2">
        <v>1011</v>
      </c>
      <c r="B12" s="4">
        <v>45999</v>
      </c>
      <c r="C12" s="2" t="s">
        <v>77</v>
      </c>
      <c r="D12" s="2" t="s">
        <v>78</v>
      </c>
      <c r="E12" s="2">
        <v>55</v>
      </c>
      <c r="F12" s="5">
        <v>4.7</v>
      </c>
      <c r="G12" s="5">
        <v>3.4</v>
      </c>
      <c r="H12" s="5">
        <v>258.5</v>
      </c>
      <c r="I12" s="5">
        <v>187</v>
      </c>
      <c r="J12" s="9">
        <v>0.27639999999999998</v>
      </c>
      <c r="K12" s="2" t="s">
        <v>14</v>
      </c>
      <c r="L12" s="2" t="s">
        <v>17</v>
      </c>
    </row>
    <row r="13" spans="1:12" ht="60" x14ac:dyDescent="0.25">
      <c r="A13" s="2">
        <v>1012</v>
      </c>
      <c r="B13" s="4">
        <v>45756</v>
      </c>
      <c r="C13" s="2" t="s">
        <v>42</v>
      </c>
      <c r="D13" s="2" t="s">
        <v>43</v>
      </c>
      <c r="E13" s="2">
        <v>30</v>
      </c>
      <c r="F13" s="5">
        <v>4.8</v>
      </c>
      <c r="G13" s="5">
        <v>3.2</v>
      </c>
      <c r="H13" s="5">
        <v>144</v>
      </c>
      <c r="I13" s="5">
        <v>96</v>
      </c>
      <c r="J13" s="9">
        <v>0.33329999999999999</v>
      </c>
      <c r="K13" s="2" t="s">
        <v>16</v>
      </c>
      <c r="L13" s="2" t="s">
        <v>20</v>
      </c>
    </row>
    <row r="14" spans="1:12" ht="60" x14ac:dyDescent="0.25">
      <c r="A14" s="2">
        <v>1013</v>
      </c>
      <c r="B14" s="4">
        <v>45786</v>
      </c>
      <c r="C14" s="2" t="s">
        <v>49</v>
      </c>
      <c r="D14" s="2" t="s">
        <v>50</v>
      </c>
      <c r="E14" s="2">
        <v>50</v>
      </c>
      <c r="F14" s="5">
        <v>6</v>
      </c>
      <c r="G14" s="5">
        <v>4</v>
      </c>
      <c r="H14" s="5">
        <v>300</v>
      </c>
      <c r="I14" s="5">
        <v>200</v>
      </c>
      <c r="J14" s="9">
        <v>0.33329999999999999</v>
      </c>
      <c r="K14" s="2" t="s">
        <v>11</v>
      </c>
      <c r="L14" s="2" t="s">
        <v>19</v>
      </c>
    </row>
    <row r="15" spans="1:12" x14ac:dyDescent="0.25">
      <c r="A15" s="2">
        <v>1014</v>
      </c>
      <c r="B15" s="4">
        <v>45848</v>
      </c>
      <c r="C15" s="2" t="s">
        <v>53</v>
      </c>
      <c r="D15" s="2" t="s">
        <v>54</v>
      </c>
      <c r="E15" s="2">
        <v>30</v>
      </c>
      <c r="F15" s="5">
        <v>6.5</v>
      </c>
      <c r="G15" s="5">
        <v>4.8</v>
      </c>
      <c r="H15" s="5">
        <v>195</v>
      </c>
      <c r="I15" s="5">
        <v>144</v>
      </c>
      <c r="J15" s="9">
        <v>0.26150000000000001</v>
      </c>
      <c r="K15" s="2" t="s">
        <v>15</v>
      </c>
      <c r="L15" s="2" t="s">
        <v>13</v>
      </c>
    </row>
    <row r="16" spans="1:12" ht="30" x14ac:dyDescent="0.25">
      <c r="A16" s="2">
        <v>1015</v>
      </c>
      <c r="B16" s="4">
        <v>45848</v>
      </c>
      <c r="C16" s="2" t="s">
        <v>64</v>
      </c>
      <c r="D16" s="2" t="s">
        <v>65</v>
      </c>
      <c r="E16" s="2">
        <v>20</v>
      </c>
      <c r="F16" s="5">
        <v>6</v>
      </c>
      <c r="G16" s="5">
        <v>4.5</v>
      </c>
      <c r="H16" s="5">
        <v>120</v>
      </c>
      <c r="I16" s="5">
        <v>90</v>
      </c>
      <c r="J16" s="9">
        <v>0.25</v>
      </c>
      <c r="K16" s="2" t="s">
        <v>26</v>
      </c>
      <c r="L16" s="2" t="s">
        <v>45</v>
      </c>
    </row>
    <row r="17" spans="1:12" ht="30" x14ac:dyDescent="0.25">
      <c r="A17" s="2">
        <v>1016</v>
      </c>
      <c r="B17" s="4">
        <v>45849</v>
      </c>
      <c r="C17" s="2" t="s">
        <v>64</v>
      </c>
      <c r="D17" s="2" t="s">
        <v>65</v>
      </c>
      <c r="E17" s="2">
        <v>30</v>
      </c>
      <c r="F17" s="5">
        <v>6</v>
      </c>
      <c r="G17" s="5">
        <v>5</v>
      </c>
      <c r="H17" s="5">
        <v>180</v>
      </c>
      <c r="I17" s="5">
        <v>150</v>
      </c>
      <c r="J17" s="9">
        <v>0.16669999999999999</v>
      </c>
      <c r="K17" s="2" t="s">
        <v>26</v>
      </c>
      <c r="L17" s="2" t="s">
        <v>45</v>
      </c>
    </row>
    <row r="18" spans="1:12" ht="60" x14ac:dyDescent="0.25">
      <c r="A18" s="2">
        <v>1017</v>
      </c>
      <c r="B18" s="4">
        <v>45880</v>
      </c>
      <c r="C18" s="2" t="s">
        <v>92</v>
      </c>
      <c r="D18" s="2" t="s">
        <v>93</v>
      </c>
      <c r="E18" s="2">
        <v>70</v>
      </c>
      <c r="F18" s="5">
        <v>2.5</v>
      </c>
      <c r="G18" s="5">
        <v>1.8</v>
      </c>
      <c r="H18" s="5">
        <v>175</v>
      </c>
      <c r="I18" s="5">
        <v>126</v>
      </c>
      <c r="J18" s="9">
        <v>0.28000000000000003</v>
      </c>
      <c r="K18" s="2" t="s">
        <v>16</v>
      </c>
      <c r="L18" s="2" t="s">
        <v>20</v>
      </c>
    </row>
    <row r="19" spans="1:12" ht="30" x14ac:dyDescent="0.25">
      <c r="A19" s="2">
        <v>1018</v>
      </c>
      <c r="B19" s="4">
        <v>45881</v>
      </c>
      <c r="C19" s="2" t="s">
        <v>99</v>
      </c>
      <c r="D19" s="2" t="s">
        <v>100</v>
      </c>
      <c r="E19" s="2">
        <v>20</v>
      </c>
      <c r="F19" s="5">
        <v>6.2</v>
      </c>
      <c r="G19" s="5">
        <v>4.3</v>
      </c>
      <c r="H19" s="5">
        <v>124</v>
      </c>
      <c r="I19" s="5">
        <v>86</v>
      </c>
      <c r="J19" s="9">
        <v>0.30649999999999999</v>
      </c>
      <c r="K19" s="2" t="s">
        <v>15</v>
      </c>
      <c r="L19" s="2" t="s">
        <v>13</v>
      </c>
    </row>
    <row r="20" spans="1:12" ht="45" x14ac:dyDescent="0.25">
      <c r="A20" s="2">
        <v>1019</v>
      </c>
      <c r="B20" s="4">
        <v>45912</v>
      </c>
      <c r="C20" s="2" t="s">
        <v>73</v>
      </c>
      <c r="D20" s="2" t="s">
        <v>74</v>
      </c>
      <c r="E20" s="2">
        <v>50</v>
      </c>
      <c r="F20" s="5">
        <v>6.8</v>
      </c>
      <c r="G20" s="5">
        <v>5</v>
      </c>
      <c r="H20" s="5">
        <v>340</v>
      </c>
      <c r="I20" s="5">
        <v>250</v>
      </c>
      <c r="J20" s="9">
        <v>0.26469999999999999</v>
      </c>
      <c r="K20" s="2" t="s">
        <v>25</v>
      </c>
      <c r="L20" s="2" t="s">
        <v>13</v>
      </c>
    </row>
    <row r="21" spans="1:12" ht="30" x14ac:dyDescent="0.25">
      <c r="A21" s="2">
        <v>1020</v>
      </c>
      <c r="B21" s="4">
        <v>45913</v>
      </c>
      <c r="C21" s="2" t="s">
        <v>108</v>
      </c>
      <c r="D21" s="2" t="s">
        <v>109</v>
      </c>
      <c r="E21" s="2">
        <v>35</v>
      </c>
      <c r="F21" s="5">
        <v>6.9</v>
      </c>
      <c r="G21" s="5">
        <v>4.9000000000000004</v>
      </c>
      <c r="H21" s="5">
        <v>241.5</v>
      </c>
      <c r="I21" s="5">
        <v>171.5</v>
      </c>
      <c r="J21" s="9">
        <v>0.2898</v>
      </c>
      <c r="K21" s="2" t="s">
        <v>14</v>
      </c>
      <c r="L21" s="2" t="s">
        <v>17</v>
      </c>
    </row>
    <row r="22" spans="1:12" ht="60" x14ac:dyDescent="0.25">
      <c r="A22" s="2">
        <v>1021</v>
      </c>
      <c r="B22" s="4">
        <v>45943</v>
      </c>
      <c r="C22" s="2" t="s">
        <v>64</v>
      </c>
      <c r="D22" s="2" t="s">
        <v>65</v>
      </c>
      <c r="E22" s="2">
        <v>40</v>
      </c>
      <c r="F22" s="5">
        <v>6</v>
      </c>
      <c r="G22" s="5">
        <v>4.5</v>
      </c>
      <c r="H22" s="5">
        <v>240</v>
      </c>
      <c r="I22" s="5">
        <v>180</v>
      </c>
      <c r="J22" s="9">
        <v>0.25</v>
      </c>
      <c r="K22" s="2" t="s">
        <v>11</v>
      </c>
      <c r="L22" s="2" t="s">
        <v>19</v>
      </c>
    </row>
    <row r="23" spans="1:12" ht="60" x14ac:dyDescent="0.25">
      <c r="A23" s="2">
        <v>1022</v>
      </c>
      <c r="B23" s="4">
        <v>45944</v>
      </c>
      <c r="C23" s="2" t="s">
        <v>112</v>
      </c>
      <c r="D23" s="2" t="s">
        <v>113</v>
      </c>
      <c r="E23" s="2">
        <v>30</v>
      </c>
      <c r="F23" s="5">
        <v>6.1</v>
      </c>
      <c r="G23" s="5">
        <v>4.5999999999999996</v>
      </c>
      <c r="H23" s="5">
        <v>183</v>
      </c>
      <c r="I23" s="5">
        <v>138</v>
      </c>
      <c r="J23" s="9">
        <v>0.24590000000000001</v>
      </c>
      <c r="K23" s="2" t="s">
        <v>16</v>
      </c>
      <c r="L23" s="2" t="s">
        <v>20</v>
      </c>
    </row>
    <row r="24" spans="1:12" ht="30" x14ac:dyDescent="0.25">
      <c r="A24" s="2">
        <v>1023</v>
      </c>
      <c r="B24" s="4">
        <v>45945</v>
      </c>
      <c r="C24" s="2" t="s">
        <v>36</v>
      </c>
      <c r="D24" s="2" t="s">
        <v>37</v>
      </c>
      <c r="E24" s="2">
        <v>45</v>
      </c>
      <c r="F24" s="5">
        <v>7</v>
      </c>
      <c r="G24" s="5">
        <v>5</v>
      </c>
      <c r="H24" s="5">
        <v>315</v>
      </c>
      <c r="I24" s="5">
        <v>225</v>
      </c>
      <c r="J24" s="9">
        <v>0.28570000000000001</v>
      </c>
      <c r="K24" s="2" t="s">
        <v>26</v>
      </c>
      <c r="L24" s="2" t="s">
        <v>45</v>
      </c>
    </row>
    <row r="25" spans="1:12" ht="30" x14ac:dyDescent="0.25">
      <c r="A25" s="2">
        <v>1024</v>
      </c>
      <c r="B25" s="4">
        <v>45976</v>
      </c>
      <c r="C25" s="2" t="s">
        <v>31</v>
      </c>
      <c r="D25" s="2" t="s">
        <v>32</v>
      </c>
      <c r="E25" s="2">
        <v>30</v>
      </c>
      <c r="F25" s="5">
        <v>5.5</v>
      </c>
      <c r="G25" s="5">
        <v>3.8</v>
      </c>
      <c r="H25" s="5">
        <v>165</v>
      </c>
      <c r="I25" s="5">
        <v>114</v>
      </c>
      <c r="J25" s="9">
        <v>0.30909999999999999</v>
      </c>
      <c r="K25" s="2" t="s">
        <v>15</v>
      </c>
      <c r="L25" s="2" t="s">
        <v>13</v>
      </c>
    </row>
    <row r="26" spans="1:12" ht="45" x14ac:dyDescent="0.25">
      <c r="A26" s="2">
        <v>1025</v>
      </c>
      <c r="B26" s="4">
        <v>45977</v>
      </c>
      <c r="C26" s="2" t="s">
        <v>42</v>
      </c>
      <c r="D26" s="2" t="s">
        <v>43</v>
      </c>
      <c r="E26" s="2">
        <v>35</v>
      </c>
      <c r="F26" s="5">
        <v>4.8</v>
      </c>
      <c r="G26" s="5">
        <v>3.2</v>
      </c>
      <c r="H26" s="5">
        <v>168</v>
      </c>
      <c r="I26" s="5">
        <v>112</v>
      </c>
      <c r="J26" s="9">
        <v>0.33329999999999999</v>
      </c>
      <c r="K26" s="2" t="s">
        <v>18</v>
      </c>
      <c r="L26" s="2" t="s">
        <v>45</v>
      </c>
    </row>
    <row r="27" spans="1:12" ht="45" x14ac:dyDescent="0.25">
      <c r="A27" s="2">
        <v>1026</v>
      </c>
      <c r="B27" s="4">
        <v>46007</v>
      </c>
      <c r="C27" s="2" t="s">
        <v>49</v>
      </c>
      <c r="D27" s="2" t="s">
        <v>50</v>
      </c>
      <c r="E27" s="2">
        <v>40</v>
      </c>
      <c r="F27" s="5">
        <v>6</v>
      </c>
      <c r="G27" s="5">
        <v>4</v>
      </c>
      <c r="H27" s="5">
        <v>240</v>
      </c>
      <c r="I27" s="5">
        <v>160</v>
      </c>
      <c r="J27" s="9">
        <v>0.33329999999999999</v>
      </c>
      <c r="K27" s="2" t="s">
        <v>25</v>
      </c>
      <c r="L27" s="2" t="s">
        <v>13</v>
      </c>
    </row>
    <row r="28" spans="1:12" ht="30" x14ac:dyDescent="0.25">
      <c r="A28" s="2">
        <v>1027</v>
      </c>
      <c r="B28" s="4">
        <v>46008</v>
      </c>
      <c r="C28" s="2" t="s">
        <v>53</v>
      </c>
      <c r="D28" s="2" t="s">
        <v>54</v>
      </c>
      <c r="E28" s="2">
        <v>50</v>
      </c>
      <c r="F28" s="5">
        <v>6.5</v>
      </c>
      <c r="G28" s="5">
        <v>4.8</v>
      </c>
      <c r="H28" s="5">
        <v>325</v>
      </c>
      <c r="I28" s="5">
        <v>240</v>
      </c>
      <c r="J28" s="9">
        <v>0.26150000000000001</v>
      </c>
      <c r="K28" s="2" t="s">
        <v>14</v>
      </c>
      <c r="L28" s="2" t="s">
        <v>17</v>
      </c>
    </row>
    <row r="29" spans="1:12" ht="60" x14ac:dyDescent="0.25">
      <c r="A29" s="2">
        <v>1028</v>
      </c>
      <c r="B29" s="4">
        <v>46008</v>
      </c>
      <c r="C29" s="2" t="s">
        <v>58</v>
      </c>
      <c r="D29" s="2" t="s">
        <v>59</v>
      </c>
      <c r="E29" s="2">
        <v>25</v>
      </c>
      <c r="F29" s="5">
        <v>4.9000000000000004</v>
      </c>
      <c r="G29" s="5">
        <v>3.5</v>
      </c>
      <c r="H29" s="5">
        <v>122.5</v>
      </c>
      <c r="I29" s="5">
        <v>87.5</v>
      </c>
      <c r="J29" s="9">
        <v>0.28570000000000001</v>
      </c>
      <c r="K29" s="2" t="s">
        <v>16</v>
      </c>
      <c r="L29" s="2" t="s">
        <v>20</v>
      </c>
    </row>
    <row r="30" spans="1:12" ht="30" x14ac:dyDescent="0.25">
      <c r="A30" s="2">
        <v>1029</v>
      </c>
      <c r="B30" s="4">
        <v>46009</v>
      </c>
      <c r="C30" s="2" t="s">
        <v>64</v>
      </c>
      <c r="D30" s="2" t="s">
        <v>65</v>
      </c>
      <c r="E30" s="2">
        <v>60</v>
      </c>
      <c r="F30" s="5">
        <v>6</v>
      </c>
      <c r="G30" s="5">
        <v>4.5</v>
      </c>
      <c r="H30" s="5">
        <v>360</v>
      </c>
      <c r="I30" s="5">
        <v>270</v>
      </c>
      <c r="J30" s="9">
        <v>0.25</v>
      </c>
      <c r="K30" s="2" t="s">
        <v>26</v>
      </c>
      <c r="L30" s="2" t="s">
        <v>45</v>
      </c>
    </row>
    <row r="31" spans="1:12" ht="45" x14ac:dyDescent="0.25">
      <c r="A31" s="2">
        <v>1030</v>
      </c>
      <c r="B31" s="4">
        <v>46009</v>
      </c>
      <c r="C31" s="2" t="s">
        <v>108</v>
      </c>
      <c r="D31" s="2" t="s">
        <v>109</v>
      </c>
      <c r="E31" s="2">
        <v>40</v>
      </c>
      <c r="F31" s="5">
        <v>6.9</v>
      </c>
      <c r="G31" s="5">
        <v>4.9000000000000004</v>
      </c>
      <c r="H31" s="5">
        <v>276</v>
      </c>
      <c r="I31" s="5">
        <v>196</v>
      </c>
      <c r="J31" s="9">
        <v>0.28989999999999999</v>
      </c>
      <c r="K31" s="2" t="s">
        <v>25</v>
      </c>
      <c r="L31" s="2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7E5B9-5016-471D-909B-BA455EA598A6}">
  <dimension ref="A1:L6"/>
  <sheetViews>
    <sheetView workbookViewId="0">
      <selection sqref="A1:L6"/>
    </sheetView>
  </sheetViews>
  <sheetFormatPr defaultRowHeight="15" x14ac:dyDescent="0.25"/>
  <cols>
    <col min="1" max="1" width="12" customWidth="1"/>
    <col min="3" max="3" width="10.28515625" customWidth="1"/>
    <col min="4" max="4" width="9.85546875" customWidth="1"/>
    <col min="5" max="5" width="13.28515625" customWidth="1"/>
    <col min="6" max="6" width="16.28515625" customWidth="1"/>
    <col min="7" max="7" width="16" customWidth="1"/>
    <col min="8" max="8" width="13.5703125" customWidth="1"/>
    <col min="9" max="9" width="13.140625" customWidth="1"/>
    <col min="10" max="10" width="10.42578125" customWidth="1"/>
    <col min="11" max="11" width="9.42578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28</v>
      </c>
      <c r="I1" t="s">
        <v>29</v>
      </c>
      <c r="J1" t="s">
        <v>30</v>
      </c>
      <c r="K1" t="s">
        <v>7</v>
      </c>
      <c r="L1" t="s">
        <v>8</v>
      </c>
    </row>
    <row r="2" spans="1:12" x14ac:dyDescent="0.25">
      <c r="A2">
        <v>1029</v>
      </c>
      <c r="B2" s="3">
        <v>46009</v>
      </c>
      <c r="C2" t="s">
        <v>64</v>
      </c>
      <c r="D2" t="s">
        <v>65</v>
      </c>
      <c r="E2">
        <v>60</v>
      </c>
      <c r="F2">
        <v>6</v>
      </c>
      <c r="G2">
        <v>4.5</v>
      </c>
      <c r="H2">
        <v>360</v>
      </c>
      <c r="I2">
        <v>270</v>
      </c>
      <c r="J2">
        <v>0.25</v>
      </c>
      <c r="K2" t="s">
        <v>26</v>
      </c>
      <c r="L2" t="s">
        <v>45</v>
      </c>
    </row>
    <row r="3" spans="1:12" x14ac:dyDescent="0.25">
      <c r="A3">
        <v>1021</v>
      </c>
      <c r="B3" s="3">
        <v>45943</v>
      </c>
      <c r="C3" t="s">
        <v>64</v>
      </c>
      <c r="D3" t="s">
        <v>65</v>
      </c>
      <c r="E3">
        <v>40</v>
      </c>
      <c r="F3">
        <v>6</v>
      </c>
      <c r="G3">
        <v>4.5</v>
      </c>
      <c r="H3">
        <v>240</v>
      </c>
      <c r="I3">
        <v>180</v>
      </c>
      <c r="J3">
        <v>0.25</v>
      </c>
      <c r="K3" t="s">
        <v>11</v>
      </c>
      <c r="L3" t="s">
        <v>19</v>
      </c>
    </row>
    <row r="4" spans="1:12" x14ac:dyDescent="0.25">
      <c r="A4">
        <v>1016</v>
      </c>
      <c r="B4" s="3">
        <v>45849</v>
      </c>
      <c r="C4" t="s">
        <v>64</v>
      </c>
      <c r="D4" t="s">
        <v>65</v>
      </c>
      <c r="E4">
        <v>30</v>
      </c>
      <c r="F4">
        <v>6</v>
      </c>
      <c r="G4">
        <v>5</v>
      </c>
      <c r="H4">
        <v>180</v>
      </c>
      <c r="I4">
        <v>150</v>
      </c>
      <c r="J4">
        <v>0.16669999999999999</v>
      </c>
      <c r="K4" t="s">
        <v>26</v>
      </c>
      <c r="L4" t="s">
        <v>45</v>
      </c>
    </row>
    <row r="5" spans="1:12" x14ac:dyDescent="0.25">
      <c r="A5">
        <v>1015</v>
      </c>
      <c r="B5" s="3">
        <v>45848</v>
      </c>
      <c r="C5" t="s">
        <v>64</v>
      </c>
      <c r="D5" t="s">
        <v>65</v>
      </c>
      <c r="E5">
        <v>20</v>
      </c>
      <c r="F5">
        <v>6</v>
      </c>
      <c r="G5">
        <v>4.5</v>
      </c>
      <c r="H5">
        <v>120</v>
      </c>
      <c r="I5">
        <v>90</v>
      </c>
      <c r="J5">
        <v>0.25</v>
      </c>
      <c r="K5" t="s">
        <v>26</v>
      </c>
      <c r="L5" t="s">
        <v>45</v>
      </c>
    </row>
    <row r="6" spans="1:12" x14ac:dyDescent="0.25">
      <c r="A6">
        <v>1007</v>
      </c>
      <c r="B6" s="3">
        <v>45997</v>
      </c>
      <c r="C6" t="s">
        <v>64</v>
      </c>
      <c r="D6" t="s">
        <v>65</v>
      </c>
      <c r="E6">
        <v>25</v>
      </c>
      <c r="F6">
        <v>6</v>
      </c>
      <c r="G6">
        <v>4.5</v>
      </c>
      <c r="H6">
        <v>150</v>
      </c>
      <c r="I6">
        <v>112.5</v>
      </c>
      <c r="J6">
        <v>0.25</v>
      </c>
      <c r="K6" t="s">
        <v>15</v>
      </c>
      <c r="L6" t="s">
        <v>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8FEA-FED0-4767-8CA0-A3649F515286}">
  <dimension ref="A1:H40"/>
  <sheetViews>
    <sheetView zoomScale="85" zoomScaleNormal="85" workbookViewId="0">
      <selection activeCell="D10" sqref="D10"/>
    </sheetView>
  </sheetViews>
  <sheetFormatPr defaultRowHeight="15" x14ac:dyDescent="0.25"/>
  <cols>
    <col min="1" max="1" width="18.42578125" bestFit="1" customWidth="1"/>
    <col min="2" max="2" width="19.5703125" bestFit="1" customWidth="1"/>
    <col min="4" max="4" width="18.42578125" bestFit="1" customWidth="1"/>
    <col min="5" max="5" width="21.42578125" bestFit="1" customWidth="1"/>
    <col min="7" max="7" width="18.42578125" bestFit="1" customWidth="1"/>
    <col min="8" max="8" width="20.28515625" bestFit="1" customWidth="1"/>
    <col min="10" max="10" width="16.5703125" bestFit="1" customWidth="1"/>
    <col min="11" max="11" width="24" bestFit="1" customWidth="1"/>
    <col min="12" max="12" width="25.5703125" bestFit="1" customWidth="1"/>
  </cols>
  <sheetData>
    <row r="1" spans="1:8" x14ac:dyDescent="0.25">
      <c r="B1">
        <f>GETPIVOTDATA("quantidade",$A$2)</f>
        <v>1190</v>
      </c>
      <c r="E1" s="6">
        <f>GETPIVOTDATA("venda_total",$D$2)</f>
        <v>6858</v>
      </c>
      <c r="H1">
        <f>GETPIVOTDATA("venda_total",$G$2)</f>
        <v>228.6</v>
      </c>
    </row>
    <row r="2" spans="1:8" x14ac:dyDescent="0.25">
      <c r="A2" s="12" t="s">
        <v>88</v>
      </c>
      <c r="B2" t="s">
        <v>124</v>
      </c>
      <c r="D2" s="12" t="s">
        <v>88</v>
      </c>
      <c r="E2" s="14" t="s">
        <v>125</v>
      </c>
      <c r="G2" s="12" t="s">
        <v>88</v>
      </c>
      <c r="H2" t="s">
        <v>126</v>
      </c>
    </row>
    <row r="3" spans="1:8" x14ac:dyDescent="0.25">
      <c r="A3" s="13" t="s">
        <v>115</v>
      </c>
      <c r="B3" s="7">
        <v>70</v>
      </c>
      <c r="D3" s="13" t="s">
        <v>115</v>
      </c>
      <c r="E3" s="14">
        <v>402</v>
      </c>
      <c r="G3" s="13" t="s">
        <v>115</v>
      </c>
      <c r="H3" s="15">
        <v>201</v>
      </c>
    </row>
    <row r="4" spans="1:8" x14ac:dyDescent="0.25">
      <c r="A4" s="13" t="s">
        <v>116</v>
      </c>
      <c r="B4" s="7">
        <v>30</v>
      </c>
      <c r="D4" s="13" t="s">
        <v>116</v>
      </c>
      <c r="E4" s="14">
        <v>144</v>
      </c>
      <c r="G4" s="13" t="s">
        <v>116</v>
      </c>
      <c r="H4" s="15">
        <v>144</v>
      </c>
    </row>
    <row r="5" spans="1:8" x14ac:dyDescent="0.25">
      <c r="A5" s="13" t="s">
        <v>117</v>
      </c>
      <c r="B5" s="7">
        <v>50</v>
      </c>
      <c r="D5" s="13" t="s">
        <v>117</v>
      </c>
      <c r="E5" s="14">
        <v>300</v>
      </c>
      <c r="G5" s="13" t="s">
        <v>117</v>
      </c>
      <c r="H5" s="15">
        <v>300</v>
      </c>
    </row>
    <row r="6" spans="1:8" x14ac:dyDescent="0.25">
      <c r="A6" s="13" t="s">
        <v>118</v>
      </c>
      <c r="B6" s="7">
        <v>205</v>
      </c>
      <c r="D6" s="13" t="s">
        <v>118</v>
      </c>
      <c r="E6" s="14">
        <v>1288</v>
      </c>
      <c r="G6" s="13" t="s">
        <v>118</v>
      </c>
      <c r="H6" s="15">
        <v>214.66666666666666</v>
      </c>
    </row>
    <row r="7" spans="1:8" x14ac:dyDescent="0.25">
      <c r="A7" s="13" t="s">
        <v>119</v>
      </c>
      <c r="B7" s="7">
        <v>90</v>
      </c>
      <c r="D7" s="13" t="s">
        <v>119</v>
      </c>
      <c r="E7" s="14">
        <v>299</v>
      </c>
      <c r="G7" s="13" t="s">
        <v>119</v>
      </c>
      <c r="H7" s="15">
        <v>149.5</v>
      </c>
    </row>
    <row r="8" spans="1:8" x14ac:dyDescent="0.25">
      <c r="A8" s="13" t="s">
        <v>120</v>
      </c>
      <c r="B8" s="7">
        <v>145</v>
      </c>
      <c r="D8" s="13" t="s">
        <v>120</v>
      </c>
      <c r="E8" s="14">
        <v>941.5</v>
      </c>
      <c r="G8" s="13" t="s">
        <v>120</v>
      </c>
      <c r="H8" s="15">
        <v>313.83333333333331</v>
      </c>
    </row>
    <row r="9" spans="1:8" x14ac:dyDescent="0.25">
      <c r="A9" s="13" t="s">
        <v>121</v>
      </c>
      <c r="B9" s="7">
        <v>115</v>
      </c>
      <c r="D9" s="13" t="s">
        <v>121</v>
      </c>
      <c r="E9" s="14">
        <v>738</v>
      </c>
      <c r="G9" s="13" t="s">
        <v>121</v>
      </c>
      <c r="H9" s="15">
        <v>246</v>
      </c>
    </row>
    <row r="10" spans="1:8" x14ac:dyDescent="0.25">
      <c r="A10" s="13" t="s">
        <v>122</v>
      </c>
      <c r="B10" s="7">
        <v>125</v>
      </c>
      <c r="D10" s="13" t="s">
        <v>122</v>
      </c>
      <c r="E10" s="14">
        <v>663</v>
      </c>
      <c r="G10" s="13" t="s">
        <v>122</v>
      </c>
      <c r="H10" s="15">
        <v>221</v>
      </c>
    </row>
    <row r="11" spans="1:8" x14ac:dyDescent="0.25">
      <c r="A11" s="13" t="s">
        <v>123</v>
      </c>
      <c r="B11" s="7">
        <v>360</v>
      </c>
      <c r="D11" s="13" t="s">
        <v>123</v>
      </c>
      <c r="E11" s="14">
        <v>2082.5</v>
      </c>
      <c r="G11" s="13" t="s">
        <v>123</v>
      </c>
      <c r="H11" s="15">
        <v>231.38888888888889</v>
      </c>
    </row>
    <row r="12" spans="1:8" x14ac:dyDescent="0.25">
      <c r="A12" s="13" t="s">
        <v>89</v>
      </c>
      <c r="B12" s="7">
        <v>1190</v>
      </c>
      <c r="D12" s="13" t="s">
        <v>89</v>
      </c>
      <c r="E12" s="14">
        <v>6858</v>
      </c>
      <c r="G12" s="13" t="s">
        <v>89</v>
      </c>
      <c r="H12" s="15">
        <v>228.6</v>
      </c>
    </row>
    <row r="15" spans="1:8" x14ac:dyDescent="0.25">
      <c r="B15" t="str">
        <f>A17</f>
        <v>Pepsi 2L</v>
      </c>
      <c r="E15" t="str">
        <f>D17</f>
        <v>Norte</v>
      </c>
      <c r="H15" s="10" t="str">
        <f>G17</f>
        <v>Restaurante Saboroso</v>
      </c>
    </row>
    <row r="16" spans="1:8" x14ac:dyDescent="0.25">
      <c r="A16" s="12" t="s">
        <v>88</v>
      </c>
      <c r="B16" t="s">
        <v>125</v>
      </c>
      <c r="D16" s="12" t="s">
        <v>88</v>
      </c>
      <c r="E16" t="s">
        <v>125</v>
      </c>
      <c r="G16" s="12" t="s">
        <v>129</v>
      </c>
      <c r="H16" s="7" t="s">
        <v>128</v>
      </c>
    </row>
    <row r="17" spans="1:8" x14ac:dyDescent="0.25">
      <c r="A17" s="13" t="s">
        <v>64</v>
      </c>
      <c r="B17" s="7">
        <v>1050</v>
      </c>
      <c r="D17" s="13" t="s">
        <v>13</v>
      </c>
      <c r="E17" s="14">
        <v>2455</v>
      </c>
      <c r="G17" s="13" t="s">
        <v>16</v>
      </c>
      <c r="H17" s="7">
        <v>6</v>
      </c>
    </row>
    <row r="18" spans="1:8" x14ac:dyDescent="0.25">
      <c r="A18" s="13" t="s">
        <v>49</v>
      </c>
      <c r="B18" s="7">
        <v>900</v>
      </c>
      <c r="D18" s="13" t="s">
        <v>45</v>
      </c>
      <c r="E18" s="14">
        <v>1853</v>
      </c>
      <c r="G18" s="13" t="s">
        <v>25</v>
      </c>
      <c r="H18" s="7">
        <v>5</v>
      </c>
    </row>
    <row r="19" spans="1:8" x14ac:dyDescent="0.25">
      <c r="A19" s="13" t="s">
        <v>36</v>
      </c>
      <c r="B19" s="7">
        <v>805</v>
      </c>
      <c r="D19" s="13" t="s">
        <v>20</v>
      </c>
      <c r="E19" s="14">
        <v>1055</v>
      </c>
      <c r="G19" s="13" t="s">
        <v>15</v>
      </c>
      <c r="H19" s="7">
        <v>5</v>
      </c>
    </row>
    <row r="20" spans="1:8" x14ac:dyDescent="0.25">
      <c r="A20" s="13" t="s">
        <v>31</v>
      </c>
      <c r="B20" s="7">
        <v>770</v>
      </c>
      <c r="D20" s="13" t="s">
        <v>17</v>
      </c>
      <c r="E20" s="14">
        <v>955</v>
      </c>
      <c r="G20" s="13" t="s">
        <v>26</v>
      </c>
      <c r="H20" s="7">
        <v>5</v>
      </c>
    </row>
    <row r="21" spans="1:8" x14ac:dyDescent="0.25">
      <c r="A21" s="13" t="s">
        <v>53</v>
      </c>
      <c r="B21" s="7">
        <v>650</v>
      </c>
      <c r="D21" s="13" t="s">
        <v>19</v>
      </c>
      <c r="E21" s="14">
        <v>540</v>
      </c>
      <c r="G21" s="13" t="s">
        <v>14</v>
      </c>
      <c r="H21" s="7">
        <v>4</v>
      </c>
    </row>
    <row r="22" spans="1:8" x14ac:dyDescent="0.25">
      <c r="A22" s="13" t="s">
        <v>73</v>
      </c>
      <c r="B22" s="7">
        <v>578</v>
      </c>
      <c r="D22" s="13" t="s">
        <v>89</v>
      </c>
      <c r="E22" s="14">
        <v>6858</v>
      </c>
      <c r="G22" s="13" t="s">
        <v>18</v>
      </c>
      <c r="H22" s="7">
        <v>3</v>
      </c>
    </row>
    <row r="23" spans="1:8" x14ac:dyDescent="0.25">
      <c r="A23" s="13" t="s">
        <v>108</v>
      </c>
      <c r="B23" s="7">
        <v>517.5</v>
      </c>
      <c r="G23" s="13" t="s">
        <v>11</v>
      </c>
      <c r="H23" s="7">
        <v>2</v>
      </c>
    </row>
    <row r="24" spans="1:8" x14ac:dyDescent="0.25">
      <c r="A24" s="13" t="s">
        <v>42</v>
      </c>
      <c r="B24" s="7">
        <v>504</v>
      </c>
      <c r="G24" s="13" t="s">
        <v>89</v>
      </c>
      <c r="H24" s="7">
        <v>30</v>
      </c>
    </row>
    <row r="25" spans="1:8" x14ac:dyDescent="0.25">
      <c r="A25" s="13" t="s">
        <v>58</v>
      </c>
      <c r="B25" s="7">
        <v>343</v>
      </c>
    </row>
    <row r="26" spans="1:8" x14ac:dyDescent="0.25">
      <c r="A26" s="13" t="s">
        <v>77</v>
      </c>
      <c r="B26" s="7">
        <v>258.5</v>
      </c>
      <c r="D26" s="12" t="s">
        <v>88</v>
      </c>
      <c r="E26" t="s">
        <v>127</v>
      </c>
    </row>
    <row r="27" spans="1:8" x14ac:dyDescent="0.25">
      <c r="A27" s="13" t="s">
        <v>112</v>
      </c>
      <c r="B27" s="7">
        <v>183</v>
      </c>
      <c r="D27" s="13" t="s">
        <v>64</v>
      </c>
      <c r="E27" s="17">
        <v>1.1667000000000001</v>
      </c>
    </row>
    <row r="28" spans="1:8" x14ac:dyDescent="0.25">
      <c r="A28" s="13" t="s">
        <v>92</v>
      </c>
      <c r="B28" s="7">
        <v>175</v>
      </c>
      <c r="D28" s="13" t="s">
        <v>49</v>
      </c>
      <c r="E28" s="17">
        <v>0.99990000000000001</v>
      </c>
    </row>
    <row r="29" spans="1:8" x14ac:dyDescent="0.25">
      <c r="A29" s="13" t="s">
        <v>99</v>
      </c>
      <c r="B29" s="7">
        <v>124</v>
      </c>
      <c r="D29" s="13" t="s">
        <v>42</v>
      </c>
      <c r="E29" s="17">
        <v>0.99990000000000001</v>
      </c>
    </row>
    <row r="30" spans="1:8" x14ac:dyDescent="0.25">
      <c r="A30" s="13" t="s">
        <v>89</v>
      </c>
      <c r="B30" s="7">
        <v>6858</v>
      </c>
      <c r="D30" s="13" t="s">
        <v>31</v>
      </c>
      <c r="E30" s="17">
        <v>0.92730000000000001</v>
      </c>
    </row>
    <row r="31" spans="1:8" x14ac:dyDescent="0.25">
      <c r="D31" s="13" t="s">
        <v>36</v>
      </c>
      <c r="E31" s="17">
        <v>0.85709999999999997</v>
      </c>
    </row>
    <row r="32" spans="1:8" x14ac:dyDescent="0.25">
      <c r="D32" s="13" t="s">
        <v>53</v>
      </c>
      <c r="E32" s="17">
        <v>0.78449999999999998</v>
      </c>
    </row>
    <row r="33" spans="4:5" x14ac:dyDescent="0.25">
      <c r="D33" s="13" t="s">
        <v>108</v>
      </c>
      <c r="E33" s="17">
        <v>0.57969999999999999</v>
      </c>
    </row>
    <row r="34" spans="4:5" x14ac:dyDescent="0.25">
      <c r="D34" s="13" t="s">
        <v>58</v>
      </c>
      <c r="E34" s="17">
        <v>0.57210000000000005</v>
      </c>
    </row>
    <row r="35" spans="4:5" x14ac:dyDescent="0.25">
      <c r="D35" s="13" t="s">
        <v>73</v>
      </c>
      <c r="E35" s="17">
        <v>0.54410000000000003</v>
      </c>
    </row>
    <row r="36" spans="4:5" x14ac:dyDescent="0.25">
      <c r="D36" s="13" t="s">
        <v>99</v>
      </c>
      <c r="E36" s="17">
        <v>0.30649999999999999</v>
      </c>
    </row>
    <row r="37" spans="4:5" x14ac:dyDescent="0.25">
      <c r="D37" s="13" t="s">
        <v>92</v>
      </c>
      <c r="E37" s="17">
        <v>0.28000000000000003</v>
      </c>
    </row>
    <row r="38" spans="4:5" x14ac:dyDescent="0.25">
      <c r="D38" s="13" t="s">
        <v>77</v>
      </c>
      <c r="E38" s="17">
        <v>0.27639999999999998</v>
      </c>
    </row>
    <row r="39" spans="4:5" x14ac:dyDescent="0.25">
      <c r="D39" s="13" t="s">
        <v>112</v>
      </c>
      <c r="E39" s="17">
        <v>0.24590000000000001</v>
      </c>
    </row>
    <row r="40" spans="4:5" x14ac:dyDescent="0.25">
      <c r="D40" s="13" t="s">
        <v>89</v>
      </c>
      <c r="E40" s="17">
        <v>8.5401000000000007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B1FDE-69BE-40FE-81B3-F18C9CB9907E}">
  <sheetPr>
    <pageSetUpPr autoPageBreaks="0"/>
  </sheetPr>
  <dimension ref="A1:AF233"/>
  <sheetViews>
    <sheetView showGridLines="0" tabSelected="1" topLeftCell="A2" zoomScaleNormal="100" workbookViewId="0">
      <selection activeCell="L34" sqref="L34"/>
    </sheetView>
  </sheetViews>
  <sheetFormatPr defaultRowHeight="15" x14ac:dyDescent="0.25"/>
  <cols>
    <col min="1" max="1" width="2.7109375" customWidth="1"/>
    <col min="5" max="5" width="2.7109375" customWidth="1"/>
    <col min="8" max="8" width="2.7109375" customWidth="1"/>
    <col min="14" max="14" width="2.7109375" customWidth="1"/>
    <col min="20" max="21" width="9.28515625" customWidth="1"/>
    <col min="24" max="24" width="2.7109375" customWidth="1"/>
  </cols>
  <sheetData>
    <row r="1" spans="1:32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32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</row>
    <row r="4" spans="1:32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</row>
    <row r="5" spans="1:32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</row>
    <row r="6" spans="1:32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</row>
    <row r="7" spans="1:32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32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32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</row>
    <row r="10" spans="1:32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</row>
    <row r="11" spans="1:32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</row>
    <row r="12" spans="1:32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</row>
    <row r="13" spans="1:32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</row>
    <row r="14" spans="1:32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</row>
    <row r="15" spans="1:32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</row>
    <row r="16" spans="1:32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</row>
    <row r="17" spans="1:32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</row>
    <row r="18" spans="1:32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</row>
    <row r="19" spans="1:32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</row>
    <row r="20" spans="1:32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</row>
    <row r="21" spans="1:32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</row>
    <row r="22" spans="1:32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</row>
    <row r="23" spans="1:32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</row>
    <row r="24" spans="1:32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</row>
    <row r="25" spans="1:32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</row>
    <row r="26" spans="1:32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</row>
    <row r="27" spans="1:32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</row>
    <row r="28" spans="1:32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</row>
    <row r="29" spans="1:32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</row>
    <row r="30" spans="1:32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</row>
    <row r="31" spans="1:32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</row>
    <row r="32" spans="1:32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</row>
    <row r="33" spans="1:32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</row>
    <row r="34" spans="1:32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</row>
    <row r="35" spans="1:32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</row>
    <row r="36" spans="1:32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</row>
    <row r="37" spans="1:32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</row>
    <row r="38" spans="1:32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</row>
    <row r="39" spans="1:32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</row>
    <row r="40" spans="1:32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</row>
    <row r="41" spans="1:32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</row>
    <row r="42" spans="1:32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</row>
    <row r="43" spans="1:32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</row>
    <row r="44" spans="1:32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</row>
    <row r="45" spans="1:32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</row>
    <row r="46" spans="1:32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</row>
    <row r="47" spans="1:32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</row>
    <row r="48" spans="1:32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</row>
    <row r="49" spans="1:32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</row>
    <row r="50" spans="1:32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</row>
    <row r="51" spans="1:32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</row>
    <row r="52" spans="1:32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</row>
    <row r="53" spans="1:32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</row>
    <row r="54" spans="1:32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</row>
    <row r="55" spans="1:32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</row>
    <row r="56" spans="1:32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</row>
    <row r="57" spans="1:32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</row>
    <row r="58" spans="1:32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</row>
    <row r="59" spans="1:32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</row>
    <row r="60" spans="1:32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</row>
    <row r="61" spans="1:32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</row>
    <row r="62" spans="1:32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</row>
    <row r="63" spans="1:32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</row>
    <row r="64" spans="1:32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</row>
    <row r="65" spans="1:32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</row>
    <row r="66" spans="1:32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</row>
    <row r="67" spans="1:32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</row>
    <row r="68" spans="1:32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</row>
    <row r="69" spans="1:32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</row>
    <row r="70" spans="1:32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</row>
    <row r="71" spans="1:32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</row>
    <row r="72" spans="1:32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</row>
    <row r="73" spans="1:32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</row>
    <row r="74" spans="1:32" x14ac:dyDescent="0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</row>
    <row r="75" spans="1:32" x14ac:dyDescent="0.2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</row>
    <row r="76" spans="1:32" x14ac:dyDescent="0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</row>
    <row r="77" spans="1:32" x14ac:dyDescent="0.2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</row>
    <row r="78" spans="1:32" x14ac:dyDescent="0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</row>
    <row r="79" spans="1:32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</row>
    <row r="80" spans="1:32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</row>
    <row r="81" spans="1:32" x14ac:dyDescent="0.2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</row>
    <row r="82" spans="1:32" x14ac:dyDescent="0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</row>
    <row r="83" spans="1:32" x14ac:dyDescent="0.2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</row>
    <row r="84" spans="1:32" x14ac:dyDescent="0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</row>
    <row r="85" spans="1:32" x14ac:dyDescent="0.2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</row>
    <row r="86" spans="1:32" x14ac:dyDescent="0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</row>
    <row r="87" spans="1:32" x14ac:dyDescent="0.2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</row>
    <row r="88" spans="1:32" x14ac:dyDescent="0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</row>
    <row r="89" spans="1:32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</row>
    <row r="90" spans="1:32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</row>
    <row r="91" spans="1:32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</row>
    <row r="92" spans="1:32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</row>
    <row r="93" spans="1:32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</row>
    <row r="94" spans="1:32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</row>
    <row r="95" spans="1:32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</row>
    <row r="96" spans="1:32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</row>
    <row r="97" spans="1:32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</row>
    <row r="98" spans="1:32" x14ac:dyDescent="0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</row>
    <row r="99" spans="1:32" x14ac:dyDescent="0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</row>
    <row r="100" spans="1:32" x14ac:dyDescent="0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</row>
    <row r="101" spans="1:32" x14ac:dyDescent="0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</row>
    <row r="102" spans="1:32" x14ac:dyDescent="0.2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</row>
    <row r="103" spans="1:32" x14ac:dyDescent="0.2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</row>
    <row r="104" spans="1:32" x14ac:dyDescent="0.2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</row>
    <row r="105" spans="1:32" x14ac:dyDescent="0.2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</row>
    <row r="106" spans="1:32" x14ac:dyDescent="0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</row>
    <row r="107" spans="1:32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</row>
    <row r="108" spans="1:32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</row>
    <row r="109" spans="1:32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</row>
    <row r="110" spans="1:32" x14ac:dyDescent="0.2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</row>
    <row r="111" spans="1:32" x14ac:dyDescent="0.2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</row>
    <row r="112" spans="1:32" x14ac:dyDescent="0.2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</row>
    <row r="113" spans="1:32" x14ac:dyDescent="0.2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</row>
    <row r="114" spans="1:32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</row>
    <row r="115" spans="1:32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</row>
    <row r="116" spans="1:32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</row>
    <row r="117" spans="1:32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</row>
    <row r="118" spans="1:32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</row>
    <row r="119" spans="1:32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</row>
    <row r="120" spans="1:32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</row>
    <row r="121" spans="1:32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</row>
    <row r="122" spans="1:32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</row>
    <row r="123" spans="1:32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</row>
    <row r="124" spans="1:32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</row>
    <row r="125" spans="1:32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</row>
    <row r="126" spans="1:32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</row>
    <row r="127" spans="1:32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</row>
    <row r="128" spans="1:32" x14ac:dyDescent="0.2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</row>
    <row r="129" spans="1:32" x14ac:dyDescent="0.2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</row>
    <row r="130" spans="1:32" x14ac:dyDescent="0.2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</row>
    <row r="131" spans="1:32" x14ac:dyDescent="0.2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</row>
    <row r="132" spans="1:32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</row>
    <row r="133" spans="1:32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</row>
    <row r="134" spans="1:32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</row>
    <row r="135" spans="1:32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</row>
    <row r="136" spans="1:32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</row>
    <row r="137" spans="1:32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</row>
    <row r="138" spans="1:32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</row>
    <row r="139" spans="1:32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</row>
    <row r="140" spans="1:32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</row>
    <row r="141" spans="1:32" x14ac:dyDescent="0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</row>
    <row r="142" spans="1:32" x14ac:dyDescent="0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</row>
    <row r="143" spans="1:32" x14ac:dyDescent="0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</row>
    <row r="144" spans="1:32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</row>
    <row r="145" spans="1:32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</row>
    <row r="146" spans="1:32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</row>
    <row r="147" spans="1:32" x14ac:dyDescent="0.2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</row>
    <row r="148" spans="1:32" x14ac:dyDescent="0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</row>
    <row r="149" spans="1:32" x14ac:dyDescent="0.2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</row>
    <row r="150" spans="1:32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</row>
    <row r="151" spans="1:32" x14ac:dyDescent="0.2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</row>
    <row r="152" spans="1:32" x14ac:dyDescent="0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</row>
    <row r="153" spans="1:32" x14ac:dyDescent="0.2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</row>
    <row r="154" spans="1:32" x14ac:dyDescent="0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</row>
    <row r="155" spans="1:32" x14ac:dyDescent="0.2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</row>
    <row r="156" spans="1:32" x14ac:dyDescent="0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</row>
    <row r="157" spans="1:32" x14ac:dyDescent="0.2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</row>
    <row r="158" spans="1:32" x14ac:dyDescent="0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</row>
    <row r="159" spans="1:32" x14ac:dyDescent="0.2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</row>
    <row r="160" spans="1:32" x14ac:dyDescent="0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</row>
    <row r="161" spans="1:32" x14ac:dyDescent="0.2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</row>
    <row r="162" spans="1:32" x14ac:dyDescent="0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</row>
    <row r="163" spans="1:32" x14ac:dyDescent="0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</row>
    <row r="164" spans="1:32" x14ac:dyDescent="0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</row>
    <row r="165" spans="1:32" x14ac:dyDescent="0.2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</row>
    <row r="166" spans="1:32" x14ac:dyDescent="0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</row>
    <row r="167" spans="1:32" x14ac:dyDescent="0.2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</row>
    <row r="168" spans="1:32" x14ac:dyDescent="0.2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</row>
    <row r="169" spans="1:32" x14ac:dyDescent="0.2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</row>
    <row r="170" spans="1:32" x14ac:dyDescent="0.2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</row>
    <row r="171" spans="1:32" x14ac:dyDescent="0.2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</row>
    <row r="172" spans="1:32" x14ac:dyDescent="0.2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</row>
    <row r="173" spans="1:32" x14ac:dyDescent="0.2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</row>
    <row r="174" spans="1:32" x14ac:dyDescent="0.2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</row>
    <row r="175" spans="1:32" x14ac:dyDescent="0.2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</row>
    <row r="176" spans="1:32" x14ac:dyDescent="0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</row>
    <row r="177" spans="1:32" x14ac:dyDescent="0.2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</row>
    <row r="178" spans="1:32" x14ac:dyDescent="0.2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</row>
    <row r="179" spans="1:32" x14ac:dyDescent="0.2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</row>
    <row r="180" spans="1:32" x14ac:dyDescent="0.2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</row>
    <row r="181" spans="1:32" x14ac:dyDescent="0.2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</row>
    <row r="182" spans="1:32" x14ac:dyDescent="0.2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</row>
    <row r="183" spans="1:32" x14ac:dyDescent="0.2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</row>
    <row r="184" spans="1:32" x14ac:dyDescent="0.2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</row>
    <row r="185" spans="1:32" x14ac:dyDescent="0.2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</row>
    <row r="186" spans="1:32" x14ac:dyDescent="0.2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</row>
    <row r="187" spans="1:32" x14ac:dyDescent="0.2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</row>
    <row r="188" spans="1:32" x14ac:dyDescent="0.2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</row>
    <row r="189" spans="1:32" x14ac:dyDescent="0.2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</row>
    <row r="190" spans="1:32" x14ac:dyDescent="0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</row>
    <row r="191" spans="1:32" x14ac:dyDescent="0.2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</row>
    <row r="192" spans="1:32" x14ac:dyDescent="0.2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</row>
    <row r="193" spans="1:32" x14ac:dyDescent="0.2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</row>
    <row r="194" spans="1:32" x14ac:dyDescent="0.2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</row>
    <row r="195" spans="1:32" x14ac:dyDescent="0.2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</row>
    <row r="196" spans="1:32" x14ac:dyDescent="0.2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</row>
    <row r="197" spans="1:32" x14ac:dyDescent="0.2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</row>
    <row r="198" spans="1:32" x14ac:dyDescent="0.2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</row>
    <row r="199" spans="1:32" x14ac:dyDescent="0.2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</row>
    <row r="200" spans="1:32" x14ac:dyDescent="0.2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</row>
    <row r="201" spans="1:32" x14ac:dyDescent="0.2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</row>
    <row r="202" spans="1:32" x14ac:dyDescent="0.2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</row>
    <row r="203" spans="1:32" x14ac:dyDescent="0.2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</row>
    <row r="204" spans="1:32" x14ac:dyDescent="0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</row>
    <row r="205" spans="1:32" x14ac:dyDescent="0.2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</row>
    <row r="206" spans="1:32" x14ac:dyDescent="0.2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</row>
    <row r="207" spans="1:32" x14ac:dyDescent="0.2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</row>
    <row r="208" spans="1:32" x14ac:dyDescent="0.2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</row>
    <row r="209" spans="1:32" x14ac:dyDescent="0.2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</row>
    <row r="210" spans="1:32" x14ac:dyDescent="0.2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</row>
    <row r="211" spans="1:32" x14ac:dyDescent="0.2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</row>
    <row r="212" spans="1:32" x14ac:dyDescent="0.2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</row>
    <row r="213" spans="1:32" x14ac:dyDescent="0.2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</row>
    <row r="214" spans="1:32" x14ac:dyDescent="0.2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</row>
    <row r="215" spans="1:32" x14ac:dyDescent="0.2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</row>
    <row r="216" spans="1:32" x14ac:dyDescent="0.2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</row>
    <row r="217" spans="1:32" x14ac:dyDescent="0.2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</row>
    <row r="218" spans="1:32" x14ac:dyDescent="0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</row>
    <row r="219" spans="1:32" x14ac:dyDescent="0.2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</row>
    <row r="220" spans="1:32" x14ac:dyDescent="0.2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</row>
    <row r="221" spans="1:32" x14ac:dyDescent="0.2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</row>
    <row r="222" spans="1:32" x14ac:dyDescent="0.2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</row>
    <row r="223" spans="1:32" x14ac:dyDescent="0.2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</row>
    <row r="224" spans="1:32" x14ac:dyDescent="0.2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</row>
    <row r="225" spans="1:32" x14ac:dyDescent="0.2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</row>
    <row r="226" spans="1:32" x14ac:dyDescent="0.2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</row>
    <row r="227" spans="1:32" x14ac:dyDescent="0.2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</row>
    <row r="228" spans="1:32" x14ac:dyDescent="0.2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</row>
    <row r="229" spans="1:32" x14ac:dyDescent="0.2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</row>
    <row r="230" spans="1:32" x14ac:dyDescent="0.2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</row>
    <row r="231" spans="1:32" x14ac:dyDescent="0.2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</row>
    <row r="232" spans="1:32" x14ac:dyDescent="0.2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</row>
    <row r="233" spans="1:32" x14ac:dyDescent="0.2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Dados Brutos</vt:lpstr>
      <vt:lpstr>Base de Dados</vt:lpstr>
      <vt:lpstr>Planilha5</vt:lpstr>
      <vt:lpstr>Planilhas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Felix</dc:creator>
  <cp:lastModifiedBy>Bruno Felix</cp:lastModifiedBy>
  <dcterms:created xsi:type="dcterms:W3CDTF">2025-07-18T21:17:32Z</dcterms:created>
  <dcterms:modified xsi:type="dcterms:W3CDTF">2025-07-21T21:31:17Z</dcterms:modified>
</cp:coreProperties>
</file>